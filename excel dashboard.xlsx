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CP\Downloads\"/>
    </mc:Choice>
  </mc:AlternateContent>
  <xr:revisionPtr revIDLastSave="0" documentId="8_{BD7D3FC4-F791-4E7B-B735-FEF391113AAF}" xr6:coauthVersionLast="47" xr6:coauthVersionMax="47" xr10:uidLastSave="{00000000-0000-0000-0000-000000000000}"/>
  <bookViews>
    <workbookView xWindow="-110" yWindow="-110" windowWidth="19420" windowHeight="10300" firstSheet="1" activeTab="6" xr2:uid="{84E552F8-5FEF-494F-82F9-53929FC75C31}"/>
  </bookViews>
  <sheets>
    <sheet name="Sheet2" sheetId="5" r:id="rId1"/>
    <sheet name="Sheet3" sheetId="6" r:id="rId2"/>
    <sheet name="Sheet5" sheetId="8" r:id="rId3"/>
    <sheet name="Sheet6" sheetId="9" r:id="rId4"/>
    <sheet name="Sheet7" sheetId="10" r:id="rId5"/>
    <sheet name="Client Data" sheetId="1" r:id="rId6"/>
    <sheet name="Dashboard" sheetId="4" r:id="rId7"/>
  </sheets>
  <definedNames>
    <definedName name="_xlnm._FilterDatabase" localSheetId="5" hidden="1">'Client Data'!$A$1:$H$97</definedName>
    <definedName name="_xlchart.v5.0" hidden="1">'Client Data'!$C$1</definedName>
    <definedName name="_xlchart.v5.1" hidden="1">'Client Data'!$C$2:$C$97</definedName>
    <definedName name="_xlchart.v5.10" hidden="1">'Client Data'!$I$1</definedName>
    <definedName name="_xlchart.v5.11" hidden="1">'Client Data'!$I$2:$I$97</definedName>
    <definedName name="_xlchart.v5.12" hidden="1">'Client Data'!$C$1</definedName>
    <definedName name="_xlchart.v5.13" hidden="1">'Client Data'!$C$2:$C$97</definedName>
    <definedName name="_xlchart.v5.14" hidden="1">'Client Data'!$F$1</definedName>
    <definedName name="_xlchart.v5.15" hidden="1">'Client Data'!$F$2:$F$97</definedName>
    <definedName name="_xlchart.v5.16" hidden="1">'Client Data'!$I$1</definedName>
    <definedName name="_xlchart.v5.17" hidden="1">'Client Data'!$I$2:$I$97</definedName>
    <definedName name="_xlchart.v5.2" hidden="1">'Client Data'!$F$1</definedName>
    <definedName name="_xlchart.v5.3" hidden="1">'Client Data'!$F$2:$F$97</definedName>
    <definedName name="_xlchart.v5.4" hidden="1">'Client Data'!$I$1</definedName>
    <definedName name="_xlchart.v5.5" hidden="1">'Client Data'!$I$2:$I$97</definedName>
    <definedName name="_xlchart.v5.6" hidden="1">'Client Data'!$C$1</definedName>
    <definedName name="_xlchart.v5.7" hidden="1">'Client Data'!$C$2:$C$97</definedName>
    <definedName name="_xlchart.v5.8" hidden="1">'Client Data'!$F$1</definedName>
    <definedName name="_xlchart.v5.9" hidden="1">'Client Data'!$F$2:$F$97</definedName>
    <definedName name="Slicer_Product">#N/A</definedName>
    <definedName name="Slicer_Province">#N/A</definedName>
    <definedName name="Slicer_Sale_Month">#N/A</definedName>
  </definedNames>
  <calcPr calcId="191029"/>
  <pivotCaches>
    <pivotCache cacheId="11" r:id="rId8"/>
    <pivotCache cacheId="24"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<sst xmlns="http://schemas.openxmlformats.org/spreadsheetml/2006/main" count="454" uniqueCount="40">
  <si>
    <t>Sale Month</t>
  </si>
  <si>
    <t>Product</t>
  </si>
  <si>
    <t>Calls Handled</t>
  </si>
  <si>
    <t>Average Handle Time</t>
  </si>
  <si>
    <t>Sales</t>
  </si>
  <si>
    <t>Revenue</t>
  </si>
  <si>
    <t>Total Handle Time</t>
  </si>
  <si>
    <t>January</t>
  </si>
  <si>
    <t>Product-1</t>
  </si>
  <si>
    <t>Product-2</t>
  </si>
  <si>
    <t>Product-3</t>
  </si>
  <si>
    <t>Product-4</t>
  </si>
  <si>
    <t>Product-5</t>
  </si>
  <si>
    <t>Product-6</t>
  </si>
  <si>
    <t>Product-7</t>
  </si>
  <si>
    <t>Product-8</t>
  </si>
  <si>
    <t>February</t>
  </si>
  <si>
    <t>March</t>
  </si>
  <si>
    <t>April</t>
  </si>
  <si>
    <t>May</t>
  </si>
  <si>
    <t>June</t>
  </si>
  <si>
    <t>July</t>
  </si>
  <si>
    <t>August</t>
  </si>
  <si>
    <t>September</t>
  </si>
  <si>
    <t>October</t>
  </si>
  <si>
    <t>November</t>
  </si>
  <si>
    <t>December</t>
  </si>
  <si>
    <t>Row Labels</t>
  </si>
  <si>
    <t>Grand Total</t>
  </si>
  <si>
    <t>Sum of Revenue</t>
  </si>
  <si>
    <t>Sum of Sales</t>
  </si>
  <si>
    <t>Sum of Calls Handled</t>
  </si>
  <si>
    <t>Province</t>
  </si>
  <si>
    <t>Country</t>
  </si>
  <si>
    <t>Pakistan</t>
  </si>
  <si>
    <t>Panjab</t>
  </si>
  <si>
    <t>Sindh</t>
  </si>
  <si>
    <t>KPK Pakhtunkhwa</t>
  </si>
  <si>
    <t>Balochistan</t>
  </si>
  <si>
    <t>Sum of Average Handle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</si>
</sst>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6" formatCode="&quot;$&quot;#,##0_);[Red]\(&quot;$&quot;#,##0\)"/>
  </numFmts>
  <fonts count="5" x14ac:knownFonts="1">
    <font>
      <sz val="11"/>
      <color theme="1"/>
      <name val="Aptos Narrow"/>
      <family val="2"/>
      <scheme val="minor"/>
    </font>
    <font>
      <b/>
      <sz val="11"/>
      <color rgb="FFFFFFFF"/>
      <name val="Calibri"/>
      <family val="2"/>
    </font>
    <font>
      <sz val="11"/>
      <color theme="1"/>
      <name val="Calibri"/>
      <family val="2"/>
    </font>
    <font>
      <sz val="11"/>
      <color theme="0"/>
      <name val="Aptos Narrow"/>
      <family val="2"/>
      <scheme val="minor"/>
    </font>
    <font>
      <b/>
      <sz val="11"/>
      <color theme="0"/>
      <name val="Calibri"/>
      <family val="2"/>
    </font>
  </fonts>
  <fills count="5">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0">
    <xf numFmtId="0" fontId="0" fillId="0" borderId="0" xfId="0"/>
    <xf numFmtId="0" fontId="2" fillId="0" borderId="1" xfId="0" applyFont="1" applyBorder="1" applyAlignment="1">
      <alignment horizontal="center" wrapText="1"/>
    </xf>
    <xf numFmtId="6" fontId="2" fillId="0" borderId="1" xfId="0" applyNumberFormat="1" applyFont="1" applyBorder="1" applyAlignment="1">
      <alignment horizontal="center" wrapText="1"/>
    </xf>
    <xf numFmtId="0" fontId="3" fillId="0" borderId="0" xfId="0" applyFont="1"/>
    <xf numFmtId="0" fontId="0" fillId="0" borderId="0" xfId="0" pivotButton="1"/>
    <xf numFmtId="0" fontId="0" fillId="0" borderId="0" xfId="0" applyAlignment="1">
      <alignment horizontal="left"/>
    </xf>
    <xf numFmtId="0" fontId="0" fillId="0" borderId="0" xfId="0" applyNumberFormat="1"/>
    <xf numFmtId="0" fontId="2" fillId="0" borderId="2" xfId="0" applyFont="1" applyBorder="1" applyAlignment="1">
      <alignment horizontal="center" wrapText="1"/>
    </xf>
    <xf numFmtId="0" fontId="2" fillId="0" borderId="7" xfId="0" applyFont="1" applyBorder="1" applyAlignment="1">
      <alignment horizontal="center" wrapText="1"/>
    </xf>
    <xf numFmtId="0" fontId="2" fillId="0" borderId="8" xfId="0" applyFont="1" applyBorder="1" applyAlignment="1">
      <alignment horizontal="center" wrapText="1"/>
    </xf>
    <xf numFmtId="6" fontId="2" fillId="0" borderId="8" xfId="0" applyNumberFormat="1" applyFont="1" applyBorder="1" applyAlignment="1">
      <alignment horizontal="center" wrapText="1"/>
    </xf>
    <xf numFmtId="0" fontId="0" fillId="0" borderId="9" xfId="0" applyBorder="1"/>
    <xf numFmtId="0" fontId="2" fillId="3" borderId="1" xfId="0" applyFont="1" applyFill="1" applyBorder="1" applyAlignment="1">
      <alignment horizontal="center" wrapText="1"/>
    </xf>
    <xf numFmtId="0" fontId="0" fillId="0" borderId="3" xfId="0" applyBorder="1"/>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3" borderId="8" xfId="0" applyFont="1" applyFill="1" applyBorder="1" applyAlignment="1">
      <alignment horizontal="center" wrapText="1"/>
    </xf>
    <xf numFmtId="0" fontId="0" fillId="4" borderId="0" xfId="0" applyFill="1"/>
  </cellXfs>
  <cellStyles count="1">
    <cellStyle name="Normal" xfId="0" builtinId="0"/>
  </cellStyles>
  <dxfs count="16">
    <dxf>
      <font>
        <color theme="1"/>
      </font>
      <fill>
        <patternFill patternType="lightGray">
          <fgColor theme="9" tint="0.79998168889431442"/>
          <bgColor theme="9" tint="0.79998168889431442"/>
        </patternFill>
      </fill>
    </dxf>
    <dxf/>
    <dxf>
      <font>
        <color theme="2"/>
      </font>
      <fill>
        <patternFill>
          <bgColor theme="0" tint="-4.9989318521683403E-2"/>
        </patternFill>
      </fill>
    </dxf>
    <dxf>
      <font>
        <b/>
        <i val="0"/>
        <strike val="0"/>
        <condense val="0"/>
        <extend val="0"/>
        <outline val="0"/>
        <shadow val="0"/>
        <u val="none"/>
        <vertAlign val="baseline"/>
        <sz val="11"/>
        <color rgb="FFFFFFFF"/>
        <name val="Calibri"/>
        <family val="2"/>
        <scheme val="none"/>
      </font>
      <fill>
        <patternFill patternType="solid">
          <fgColor indexed="64"/>
          <bgColor theme="9"/>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3" defaultTableStyle="TableStyleMedium2" defaultPivotStyle="PivotStyleLight16">
    <tableStyle name="Slicer Style 1" pivot="0" table="0" count="1" xr9:uid="{A41695B2-422B-4A4A-BAFB-061B66FD07F8}">
      <tableStyleElement type="headerRow" dxfId="2"/>
    </tableStyle>
    <tableStyle name="Slicer Style 2" pivot="0" table="0" count="1" xr9:uid="{FFF9BC39-EA2E-4013-8BB7-2DA197289868}">
      <tableStyleElement type="wholeTable" dxfId="1"/>
    </tableStyle>
    <tableStyle name="Slicer Style 3" pivot="0" table="0" count="1" xr9:uid="{936CA5D3-5CB1-4909-BE92-F68EC6EB2C12}">
      <tableStyleElement type="wholeTable" dxfId="0"/>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dashboard.xlsx]Sheet2!PivotTable1</c:name>
    <c:fmtId val="0"/>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1"/>
              <a:t>Sales</a:t>
            </a:r>
            <a:r>
              <a:rPr lang="en-US" sz="1500" b="1" baseline="0"/>
              <a:t> by Month</a:t>
            </a:r>
          </a:p>
        </c:rich>
      </c:tx>
      <c:overlay val="0"/>
      <c:spPr>
        <a:solidFill>
          <a:schemeClr val="bg1">
            <a:lumMod val="95000"/>
          </a:schemeClr>
        </a:solidFill>
        <a:ln>
          <a:solidFill>
            <a:schemeClr val="bg1"/>
          </a:solid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a:softEdge rad="12700"/>
          </a:effectLst>
        </c:spPr>
        <c:marker>
          <c:symbol val="circle"/>
          <c:size val="5"/>
          <c:spPr>
            <a:solidFill>
              <a:schemeClr val="accent1"/>
            </a:solidFill>
            <a:ln w="9525">
              <a:solidFill>
                <a:schemeClr val="accent1"/>
              </a:solidFill>
            </a:ln>
            <a:effectLst>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a:softEdge rad="12700"/>
            </a:effectLst>
          </c:spPr>
          <c:marker>
            <c:symbol val="circle"/>
            <c:size val="5"/>
            <c:spPr>
              <a:solidFill>
                <a:schemeClr val="accent1"/>
              </a:solidFill>
              <a:ln w="9525">
                <a:solidFill>
                  <a:schemeClr val="accent1"/>
                </a:solidFill>
              </a:ln>
              <a:effectLst>
                <a:softEdge rad="12700"/>
              </a:effectLst>
            </c:spPr>
          </c:marker>
          <c:cat>
            <c:strRef>
              <c:f>Sheet2!$A$4:$A$16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Sheet2!$B$4:$B$16</c:f>
              <c:numCache>
                <c:formatCode>General</c:formatCode>
                <c:ptCount val="12"/>
                <c:pt idx="0">
                  <c:v>3294</c:v>
                </c:pt>
                <c:pt idx="1">
                  <c:v>4087</c:v>
                </c:pt>
                <c:pt idx="2">
                  <c:v>3080</c:v>
                </c:pt>
                <c:pt idx="3">
                  <c:v>3296</c:v>
                </c:pt>
                <c:pt idx="4">
                  <c:v>2757</c:v>
                </c:pt>
                <c:pt idx="5">
                  <c:v>2840</c:v>
                </c:pt>
                <c:pt idx="6">
                  <c:v>2992</c:v>
                </c:pt>
                <c:pt idx="7">
                  <c:v>4054</c:v>
                </c:pt>
                <c:pt idx="8">
                  <c:v>2694</c:v>
                </c:pt>
                <c:pt idx="9">
                  <c:v>3582</c:v>
                </c:pt>
                <c:pt idx="10">
                  <c:v>3091</c:v>
                </c:pt>
                <c:pt idx="11">
                  <c:v>2706</c:v>
                </c:pt>
              </c:numCache>
            </c:numRef>
          </c:val>
          <c:smooth val="0"/>
          <c:extLst>
            <c:ext xmlns:c16="http://schemas.microsoft.com/office/drawing/2014/chart" uri="{C3380CC4-5D6E-409C-BE32-E72D297353CC}">
              <c16:uniqueId val="{00000000-06A6-4E4D-8DAA-283BE573ABC3}"/>
            </c:ext>
          </c:extLst>
        </c:ser>
        <c:dLbls>
          <c:showLegendKey val="0"/>
          <c:showVal val="0"/>
          <c:showCatName val="0"/>
          <c:showSerName val="0"/>
          <c:showPercent val="0"/>
          <c:showBubbleSize val="0"/>
        </c:dLbls>
        <c:marker val="1"/>
        <c:smooth val="0"/>
        <c:axId val="664699759"/>
        <c:axId val="664701679"/>
      </c:lineChart>
      <c:catAx>
        <c:axId val="66469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64701679"/>
        <c:crosses val="autoZero"/>
        <c:auto val="1"/>
        <c:lblAlgn val="ctr"/>
        <c:lblOffset val="100"/>
        <c:noMultiLvlLbl val="0"/>
      </c:catAx>
      <c:valAx>
        <c:axId val="664701679"/>
        <c:scaling>
          <c:orientation val="minMax"/>
          <c:min val="2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469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Products</a:t>
            </a:r>
          </a:p>
        </c:rich>
      </c:tx>
      <c:overlay val="0"/>
      <c:spPr>
        <a:solidFill>
          <a:schemeClr val="bg2"/>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tx2">
                <a:lumMod val="75000"/>
                <a:lumOff val="25000"/>
              </a:schemeClr>
            </a:solidFill>
            <a:ln>
              <a:noFill/>
            </a:ln>
            <a:effectLst/>
          </c:spPr>
          <c:invertIfNegative val="0"/>
          <c:cat>
            <c:strRef>
              <c:f>Sheet3!$A$4:$A$12</c:f>
              <c:strCache>
                <c:ptCount val="8"/>
                <c:pt idx="0">
                  <c:v>Product-1</c:v>
                </c:pt>
                <c:pt idx="1">
                  <c:v>Product-3</c:v>
                </c:pt>
                <c:pt idx="2">
                  <c:v>Product-7</c:v>
                </c:pt>
                <c:pt idx="3">
                  <c:v>Product-6</c:v>
                </c:pt>
                <c:pt idx="4">
                  <c:v>Product-2</c:v>
                </c:pt>
                <c:pt idx="5">
                  <c:v>Product-8</c:v>
                </c:pt>
                <c:pt idx="6">
                  <c:v>Product-5</c:v>
                </c:pt>
                <c:pt idx="7">
                  <c:v>Product-4</c:v>
                </c:pt>
              </c:strCache>
            </c:strRef>
          </c:cat>
          <c:val>
            <c:numRef>
              <c:f>Sheet3!$B$4:$B$12</c:f>
              <c:numCache>
                <c:formatCode>General</c:formatCode>
                <c:ptCount val="8"/>
                <c:pt idx="0">
                  <c:v>61618</c:v>
                </c:pt>
                <c:pt idx="1">
                  <c:v>61618</c:v>
                </c:pt>
                <c:pt idx="2">
                  <c:v>72259</c:v>
                </c:pt>
                <c:pt idx="3">
                  <c:v>94726</c:v>
                </c:pt>
                <c:pt idx="4">
                  <c:v>106986</c:v>
                </c:pt>
                <c:pt idx="5">
                  <c:v>112906</c:v>
                </c:pt>
                <c:pt idx="6">
                  <c:v>116358</c:v>
                </c:pt>
                <c:pt idx="7">
                  <c:v>119718</c:v>
                </c:pt>
              </c:numCache>
            </c:numRef>
          </c:val>
          <c:extLst>
            <c:ext xmlns:c16="http://schemas.microsoft.com/office/drawing/2014/chart" uri="{C3380CC4-5D6E-409C-BE32-E72D297353CC}">
              <c16:uniqueId val="{00000000-228D-4F7B-84A2-A4FE328A46C1}"/>
            </c:ext>
          </c:extLst>
        </c:ser>
        <c:dLbls>
          <c:dLblPos val="outEnd"/>
          <c:showLegendKey val="0"/>
          <c:showVal val="0"/>
          <c:showCatName val="0"/>
          <c:showSerName val="0"/>
          <c:showPercent val="0"/>
          <c:showBubbleSize val="0"/>
        </c:dLbls>
        <c:gapWidth val="182"/>
        <c:axId val="808470863"/>
        <c:axId val="808472783"/>
      </c:barChart>
      <c:catAx>
        <c:axId val="80847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08472783"/>
        <c:crosses val="autoZero"/>
        <c:auto val="1"/>
        <c:lblAlgn val="ctr"/>
        <c:lblOffset val="100"/>
        <c:noMultiLvlLbl val="0"/>
      </c:catAx>
      <c:valAx>
        <c:axId val="80847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847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dashboard.xlsx]Sheet5!PivotTable4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Sheet5!$A$4:$A$12</c:f>
              <c:strCache>
                <c:ptCount val="8"/>
                <c:pt idx="0">
                  <c:v>Product-1</c:v>
                </c:pt>
                <c:pt idx="1">
                  <c:v>Product-2</c:v>
                </c:pt>
                <c:pt idx="2">
                  <c:v>Product-3</c:v>
                </c:pt>
                <c:pt idx="3">
                  <c:v>Product-4</c:v>
                </c:pt>
                <c:pt idx="4">
                  <c:v>Product-5</c:v>
                </c:pt>
                <c:pt idx="5">
                  <c:v>Product-6</c:v>
                </c:pt>
                <c:pt idx="6">
                  <c:v>Product-7</c:v>
                </c:pt>
                <c:pt idx="7">
                  <c:v>Product-8</c:v>
                </c:pt>
              </c:strCache>
            </c:strRef>
          </c:cat>
          <c:val>
            <c:numRef>
              <c:f>Sheet5!$B$4:$B$12</c:f>
              <c:numCache>
                <c:formatCode>General</c:formatCode>
                <c:ptCount val="8"/>
                <c:pt idx="0">
                  <c:v>4784</c:v>
                </c:pt>
                <c:pt idx="1">
                  <c:v>5056</c:v>
                </c:pt>
                <c:pt idx="2">
                  <c:v>5152</c:v>
                </c:pt>
                <c:pt idx="3">
                  <c:v>5422</c:v>
                </c:pt>
                <c:pt idx="4">
                  <c:v>4517</c:v>
                </c:pt>
                <c:pt idx="5">
                  <c:v>5419</c:v>
                </c:pt>
                <c:pt idx="6">
                  <c:v>3740</c:v>
                </c:pt>
                <c:pt idx="7">
                  <c:v>4383</c:v>
                </c:pt>
              </c:numCache>
            </c:numRef>
          </c:val>
          <c:smooth val="0"/>
          <c:extLst>
            <c:ext xmlns:c16="http://schemas.microsoft.com/office/drawing/2014/chart" uri="{C3380CC4-5D6E-409C-BE32-E72D297353CC}">
              <c16:uniqueId val="{00000000-BBA9-41F0-8064-F490029C824D}"/>
            </c:ext>
          </c:extLst>
        </c:ser>
        <c:ser>
          <c:idx val="1"/>
          <c:order val="1"/>
          <c:tx>
            <c:strRef>
              <c:f>Sheet5!$C$3</c:f>
              <c:strCache>
                <c:ptCount val="1"/>
                <c:pt idx="0">
                  <c:v>Sum of Calls Handled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Sheet5!$A$4:$A$12</c:f>
              <c:strCache>
                <c:ptCount val="8"/>
                <c:pt idx="0">
                  <c:v>Product-1</c:v>
                </c:pt>
                <c:pt idx="1">
                  <c:v>Product-2</c:v>
                </c:pt>
                <c:pt idx="2">
                  <c:v>Product-3</c:v>
                </c:pt>
                <c:pt idx="3">
                  <c:v>Product-4</c:v>
                </c:pt>
                <c:pt idx="4">
                  <c:v>Product-5</c:v>
                </c:pt>
                <c:pt idx="5">
                  <c:v>Product-6</c:v>
                </c:pt>
                <c:pt idx="6">
                  <c:v>Product-7</c:v>
                </c:pt>
                <c:pt idx="7">
                  <c:v>Product-8</c:v>
                </c:pt>
              </c:strCache>
            </c:strRef>
          </c:cat>
          <c:val>
            <c:numRef>
              <c:f>Sheet5!$C$4:$C$12</c:f>
              <c:numCache>
                <c:formatCode>General</c:formatCode>
                <c:ptCount val="8"/>
                <c:pt idx="0">
                  <c:v>56261</c:v>
                </c:pt>
                <c:pt idx="1">
                  <c:v>64069</c:v>
                </c:pt>
                <c:pt idx="2">
                  <c:v>59458</c:v>
                </c:pt>
                <c:pt idx="3">
                  <c:v>63690</c:v>
                </c:pt>
                <c:pt idx="4">
                  <c:v>62792</c:v>
                </c:pt>
                <c:pt idx="5">
                  <c:v>60416</c:v>
                </c:pt>
                <c:pt idx="6">
                  <c:v>53276</c:v>
                </c:pt>
                <c:pt idx="7">
                  <c:v>59429</c:v>
                </c:pt>
              </c:numCache>
            </c:numRef>
          </c:val>
          <c:smooth val="0"/>
          <c:extLst>
            <c:ext xmlns:c16="http://schemas.microsoft.com/office/drawing/2014/chart" uri="{C3380CC4-5D6E-409C-BE32-E72D297353CC}">
              <c16:uniqueId val="{00000001-BBA9-41F0-8064-F490029C824D}"/>
            </c:ext>
          </c:extLst>
        </c:ser>
        <c:dLbls>
          <c:showLegendKey val="0"/>
          <c:showVal val="0"/>
          <c:showCatName val="0"/>
          <c:showSerName val="0"/>
          <c:showPercent val="0"/>
          <c:showBubbleSize val="0"/>
        </c:dLbls>
        <c:marker val="1"/>
        <c:smooth val="0"/>
        <c:axId val="675767535"/>
        <c:axId val="675768495"/>
      </c:lineChart>
      <c:catAx>
        <c:axId val="67576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768495"/>
        <c:crosses val="autoZero"/>
        <c:auto val="1"/>
        <c:lblAlgn val="ctr"/>
        <c:lblOffset val="100"/>
        <c:noMultiLvlLbl val="0"/>
      </c:catAx>
      <c:valAx>
        <c:axId val="67576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76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dashboard.xlsx]Sheet6!PivotTable7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Call</a:t>
            </a:r>
            <a:r>
              <a:rPr lang="en-US" b="1" baseline="0"/>
              <a:t> Handled VS Sales</a:t>
            </a:r>
            <a:endParaRPr lang="en-US" b="1"/>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Sheet6!$B$3</c:f>
              <c:strCache>
                <c:ptCount val="1"/>
                <c:pt idx="0">
                  <c:v>Sum of Calls Handled</c:v>
                </c:pt>
              </c:strCache>
            </c:strRef>
          </c:tx>
          <c:spPr>
            <a:solidFill>
              <a:schemeClr val="accent1"/>
            </a:solidFill>
            <a:ln>
              <a:noFill/>
            </a:ln>
            <a:effectLst/>
          </c:spPr>
          <c:cat>
            <c:strRef>
              <c:f>Sheet6!$A$4:$A$12</c:f>
              <c:strCache>
                <c:ptCount val="8"/>
                <c:pt idx="0">
                  <c:v>Product-7</c:v>
                </c:pt>
                <c:pt idx="1">
                  <c:v>Product-1</c:v>
                </c:pt>
                <c:pt idx="2">
                  <c:v>Product-8</c:v>
                </c:pt>
                <c:pt idx="3">
                  <c:v>Product-3</c:v>
                </c:pt>
                <c:pt idx="4">
                  <c:v>Product-6</c:v>
                </c:pt>
                <c:pt idx="5">
                  <c:v>Product-5</c:v>
                </c:pt>
                <c:pt idx="6">
                  <c:v>Product-4</c:v>
                </c:pt>
                <c:pt idx="7">
                  <c:v>Product-2</c:v>
                </c:pt>
              </c:strCache>
            </c:strRef>
          </c:cat>
          <c:val>
            <c:numRef>
              <c:f>Sheet6!$B$4:$B$12</c:f>
              <c:numCache>
                <c:formatCode>General</c:formatCode>
                <c:ptCount val="8"/>
                <c:pt idx="0">
                  <c:v>53276</c:v>
                </c:pt>
                <c:pt idx="1">
                  <c:v>56261</c:v>
                </c:pt>
                <c:pt idx="2">
                  <c:v>59429</c:v>
                </c:pt>
                <c:pt idx="3">
                  <c:v>59458</c:v>
                </c:pt>
                <c:pt idx="4">
                  <c:v>60416</c:v>
                </c:pt>
                <c:pt idx="5">
                  <c:v>62792</c:v>
                </c:pt>
                <c:pt idx="6">
                  <c:v>63690</c:v>
                </c:pt>
                <c:pt idx="7">
                  <c:v>64069</c:v>
                </c:pt>
              </c:numCache>
            </c:numRef>
          </c:val>
          <c:extLst>
            <c:ext xmlns:c16="http://schemas.microsoft.com/office/drawing/2014/chart" uri="{C3380CC4-5D6E-409C-BE32-E72D297353CC}">
              <c16:uniqueId val="{00000000-D1BA-4A81-AF7E-D014788AEBFC}"/>
            </c:ext>
          </c:extLst>
        </c:ser>
        <c:ser>
          <c:idx val="1"/>
          <c:order val="1"/>
          <c:tx>
            <c:strRef>
              <c:f>Sheet6!$C$3</c:f>
              <c:strCache>
                <c:ptCount val="1"/>
                <c:pt idx="0">
                  <c:v>Sum of Sales</c:v>
                </c:pt>
              </c:strCache>
            </c:strRef>
          </c:tx>
          <c:spPr>
            <a:solidFill>
              <a:schemeClr val="accent2"/>
            </a:solidFill>
            <a:ln>
              <a:noFill/>
            </a:ln>
            <a:effectLst/>
          </c:spPr>
          <c:cat>
            <c:strRef>
              <c:f>Sheet6!$A$4:$A$12</c:f>
              <c:strCache>
                <c:ptCount val="8"/>
                <c:pt idx="0">
                  <c:v>Product-7</c:v>
                </c:pt>
                <c:pt idx="1">
                  <c:v>Product-1</c:v>
                </c:pt>
                <c:pt idx="2">
                  <c:v>Product-8</c:v>
                </c:pt>
                <c:pt idx="3">
                  <c:v>Product-3</c:v>
                </c:pt>
                <c:pt idx="4">
                  <c:v>Product-6</c:v>
                </c:pt>
                <c:pt idx="5">
                  <c:v>Product-5</c:v>
                </c:pt>
                <c:pt idx="6">
                  <c:v>Product-4</c:v>
                </c:pt>
                <c:pt idx="7">
                  <c:v>Product-2</c:v>
                </c:pt>
              </c:strCache>
            </c:strRef>
          </c:cat>
          <c:val>
            <c:numRef>
              <c:f>Sheet6!$C$4:$C$12</c:f>
              <c:numCache>
                <c:formatCode>General</c:formatCode>
                <c:ptCount val="8"/>
                <c:pt idx="0">
                  <c:v>3740</c:v>
                </c:pt>
                <c:pt idx="1">
                  <c:v>4784</c:v>
                </c:pt>
                <c:pt idx="2">
                  <c:v>4383</c:v>
                </c:pt>
                <c:pt idx="3">
                  <c:v>5152</c:v>
                </c:pt>
                <c:pt idx="4">
                  <c:v>5419</c:v>
                </c:pt>
                <c:pt idx="5">
                  <c:v>4517</c:v>
                </c:pt>
                <c:pt idx="6">
                  <c:v>5422</c:v>
                </c:pt>
                <c:pt idx="7">
                  <c:v>5056</c:v>
                </c:pt>
              </c:numCache>
            </c:numRef>
          </c:val>
          <c:extLst>
            <c:ext xmlns:c16="http://schemas.microsoft.com/office/drawing/2014/chart" uri="{C3380CC4-5D6E-409C-BE32-E72D297353CC}">
              <c16:uniqueId val="{00000001-D1BA-4A81-AF7E-D014788AEBFC}"/>
            </c:ext>
          </c:extLst>
        </c:ser>
        <c:dLbls>
          <c:showLegendKey val="0"/>
          <c:showVal val="0"/>
          <c:showCatName val="0"/>
          <c:showSerName val="0"/>
          <c:showPercent val="0"/>
          <c:showBubbleSize val="0"/>
        </c:dLbls>
        <c:axId val="834198687"/>
        <c:axId val="834197727"/>
      </c:areaChart>
      <c:catAx>
        <c:axId val="834198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34197727"/>
        <c:crosses val="autoZero"/>
        <c:auto val="1"/>
        <c:lblAlgn val="ctr"/>
        <c:lblOffset val="100"/>
        <c:noMultiLvlLbl val="0"/>
      </c:catAx>
      <c:valAx>
        <c:axId val="8341977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41986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dashboard.xlsx]Sheet7!PivotTable8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_Time By Products</a:t>
            </a:r>
            <a:endParaRPr lang="en-US" b="1"/>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9.166666666666666E-2"/>
              <c:y val="1.8518518518518517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5.833333333333323E-2"/>
              <c:y val="-6.0185185185185182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4.4444444444444446E-2"/>
              <c:y val="-8.333333333333337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schemeClr>
          </a:solidFill>
          <a:ln w="19050">
            <a:solidFill>
              <a:schemeClr val="lt1"/>
            </a:solidFill>
          </a:ln>
          <a:effectLst/>
        </c:spPr>
        <c:dLbl>
          <c:idx val="0"/>
          <c:layout>
            <c:manualLayout>
              <c:x val="-5.8333333333333383E-2"/>
              <c:y val="-7.8703703703703706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schemeClr>
          </a:solidFill>
          <a:ln w="19050">
            <a:solidFill>
              <a:schemeClr val="lt1"/>
            </a:solidFill>
          </a:ln>
          <a:effectLst/>
        </c:spPr>
        <c:dLbl>
          <c:idx val="0"/>
          <c:layout>
            <c:manualLayout>
              <c:x val="-7.9166776027996488E-2"/>
              <c:y val="-2.3147965879265091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333333333333323E-2"/>
                  <c:h val="6.4745552639253412E-2"/>
                </c:manualLayout>
              </c15:layout>
            </c:ext>
          </c:extLst>
        </c:dLbl>
      </c:pivotFmt>
      <c:pivotFmt>
        <c:idx val="6"/>
        <c:spPr>
          <a:solidFill>
            <a:schemeClr val="accent6"/>
          </a:solidFill>
          <a:ln w="19050">
            <a:solidFill>
              <a:schemeClr val="lt1"/>
            </a:solidFill>
          </a:ln>
          <a:effectLst/>
        </c:spPr>
        <c:dLbl>
          <c:idx val="0"/>
          <c:layout>
            <c:manualLayout>
              <c:x val="-9.166666666666666E-2"/>
              <c:y val="4.6296296296295444E-3"/>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8.3333333333333329E-2"/>
              <c:y val="7.870370370370354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dLbl>
          <c:idx val="0"/>
          <c:layout>
            <c:manualLayout>
              <c:x val="8.3333333333333329E-2"/>
              <c:y val="7.407407407407407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0FFF-43C5-9DE6-F0EC818A8C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FF-43C5-9DE6-F0EC818A8C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0FFF-43C5-9DE6-F0EC818A8C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9-0FFF-43C5-9DE6-F0EC818A8C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8-0FFF-43C5-9DE6-F0EC818A8C4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0FFF-43C5-9DE6-F0EC818A8C4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6-0FFF-43C5-9DE6-F0EC818A8C4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5-0FFF-43C5-9DE6-F0EC818A8C4F}"/>
              </c:ext>
            </c:extLst>
          </c:dPt>
          <c:dLbls>
            <c:dLbl>
              <c:idx val="0"/>
              <c:layout>
                <c:manualLayout>
                  <c:x val="4.4444444444444446E-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FF-43C5-9DE6-F0EC818A8C4F}"/>
                </c:ext>
              </c:extLst>
            </c:dLbl>
            <c:dLbl>
              <c:idx val="1"/>
              <c:layout>
                <c:manualLayout>
                  <c:x val="5.833333333333323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FF-43C5-9DE6-F0EC818A8C4F}"/>
                </c:ext>
              </c:extLst>
            </c:dLbl>
            <c:dLbl>
              <c:idx val="2"/>
              <c:layout>
                <c:manualLayout>
                  <c:x val="9.166666666666666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FF-43C5-9DE6-F0EC818A8C4F}"/>
                </c:ext>
              </c:extLst>
            </c:dLbl>
            <c:dLbl>
              <c:idx val="3"/>
              <c:layout>
                <c:manualLayout>
                  <c:x val="8.3333333333333329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FFF-43C5-9DE6-F0EC818A8C4F}"/>
                </c:ext>
              </c:extLst>
            </c:dLbl>
            <c:dLbl>
              <c:idx val="4"/>
              <c:layout>
                <c:manualLayout>
                  <c:x val="-8.3333333333333329E-2"/>
                  <c:y val="7.8703703703703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FFF-43C5-9DE6-F0EC818A8C4F}"/>
                </c:ext>
              </c:extLst>
            </c:dLbl>
            <c:dLbl>
              <c:idx val="5"/>
              <c:layout>
                <c:manualLayout>
                  <c:x val="-9.166666666666666E-2"/>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FF-43C5-9DE6-F0EC818A8C4F}"/>
                </c:ext>
              </c:extLst>
            </c:dLbl>
            <c:dLbl>
              <c:idx val="6"/>
              <c:layout>
                <c:manualLayout>
                  <c:x val="-7.9166776027996488E-2"/>
                  <c:y val="-2.3147965879265091E-2"/>
                </c:manualLayout>
              </c:layout>
              <c:showLegendKey val="0"/>
              <c:showVal val="1"/>
              <c:showCatName val="0"/>
              <c:showSerName val="0"/>
              <c:showPercent val="0"/>
              <c:showBubbleSize val="0"/>
              <c:extLst>
                <c:ext xmlns:c15="http://schemas.microsoft.com/office/drawing/2012/chart" uri="{CE6537A1-D6FC-4f65-9D91-7224C49458BB}">
                  <c15:layout>
                    <c:manualLayout>
                      <c:w val="9.2333333333333323E-2"/>
                      <c:h val="6.4745552639253412E-2"/>
                    </c:manualLayout>
                  </c15:layout>
                </c:ext>
                <c:ext xmlns:c16="http://schemas.microsoft.com/office/drawing/2014/chart" uri="{C3380CC4-5D6E-409C-BE32-E72D297353CC}">
                  <c16:uniqueId val="{00000006-0FFF-43C5-9DE6-F0EC818A8C4F}"/>
                </c:ext>
              </c:extLst>
            </c:dLbl>
            <c:dLbl>
              <c:idx val="7"/>
              <c:layout>
                <c:manualLayout>
                  <c:x val="-5.8333333333333383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FF-43C5-9DE6-F0EC818A8C4F}"/>
                </c:ext>
              </c:extLst>
            </c:dLbl>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Sheet7!$A$4:$A$12</c:f>
              <c:strCache>
                <c:ptCount val="8"/>
                <c:pt idx="0">
                  <c:v>Product-1</c:v>
                </c:pt>
                <c:pt idx="1">
                  <c:v>Product-2</c:v>
                </c:pt>
                <c:pt idx="2">
                  <c:v>Product-3</c:v>
                </c:pt>
                <c:pt idx="3">
                  <c:v>Product-4</c:v>
                </c:pt>
                <c:pt idx="4">
                  <c:v>Product-5</c:v>
                </c:pt>
                <c:pt idx="5">
                  <c:v>Product-6</c:v>
                </c:pt>
                <c:pt idx="6">
                  <c:v>Product-7</c:v>
                </c:pt>
                <c:pt idx="7">
                  <c:v>Product-8</c:v>
                </c:pt>
              </c:strCache>
            </c:strRef>
          </c:cat>
          <c:val>
            <c:numRef>
              <c:f>Sheet7!$B$4:$B$12</c:f>
              <c:numCache>
                <c:formatCode>General</c:formatCode>
                <c:ptCount val="8"/>
                <c:pt idx="0">
                  <c:v>6250</c:v>
                </c:pt>
                <c:pt idx="1">
                  <c:v>6186</c:v>
                </c:pt>
                <c:pt idx="2">
                  <c:v>5132</c:v>
                </c:pt>
                <c:pt idx="3">
                  <c:v>6107</c:v>
                </c:pt>
                <c:pt idx="4">
                  <c:v>6321</c:v>
                </c:pt>
                <c:pt idx="5">
                  <c:v>5961</c:v>
                </c:pt>
                <c:pt idx="6">
                  <c:v>6009</c:v>
                </c:pt>
                <c:pt idx="7">
                  <c:v>6207</c:v>
                </c:pt>
              </c:numCache>
            </c:numRef>
          </c:val>
          <c:extLst>
            <c:ext xmlns:c16="http://schemas.microsoft.com/office/drawing/2014/chart" uri="{C3380CC4-5D6E-409C-BE32-E72D297353CC}">
              <c16:uniqueId val="{00000000-0FFF-43C5-9DE6-F0EC818A8C4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dashboard.xlsx]Sheet2!PivotTable1</c:name>
    <c:fmtId val="7"/>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1"/>
              <a:t>Sales</a:t>
            </a:r>
            <a:r>
              <a:rPr lang="en-US" sz="1500" b="1" baseline="0"/>
              <a:t> by Month</a:t>
            </a:r>
          </a:p>
        </c:rich>
      </c:tx>
      <c:overlay val="0"/>
      <c:spPr>
        <a:solidFill>
          <a:schemeClr val="bg2"/>
        </a:solid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a:softEdge rad="12700"/>
          </a:effectLst>
        </c:spPr>
        <c:marker>
          <c:spPr>
            <a:solidFill>
              <a:schemeClr val="accent1"/>
            </a:solidFill>
            <a:ln w="9525">
              <a:solidFill>
                <a:schemeClr val="accent1"/>
              </a:solidFill>
            </a:ln>
            <a:effectLst>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a:softEdge rad="12700"/>
          </a:effectLst>
        </c:spPr>
        <c:marker>
          <c:spPr>
            <a:solidFill>
              <a:schemeClr val="accent1"/>
            </a:solidFill>
            <a:ln w="9525">
              <a:solidFill>
                <a:schemeClr val="accent1"/>
              </a:solidFill>
            </a:ln>
            <a:effectLst>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a:softEdge rad="12700"/>
          </a:effectLst>
        </c:spPr>
        <c:marker>
          <c:symbol val="circle"/>
          <c:size val="5"/>
          <c:spPr>
            <a:solidFill>
              <a:schemeClr val="accent1"/>
            </a:solidFill>
            <a:ln w="9525">
              <a:solidFill>
                <a:schemeClr val="accent1"/>
              </a:solidFill>
            </a:ln>
            <a:effectLst>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a:softEdge rad="12700"/>
            </a:effectLst>
          </c:spPr>
          <c:marker>
            <c:symbol val="circle"/>
            <c:size val="5"/>
            <c:spPr>
              <a:solidFill>
                <a:schemeClr val="accent1"/>
              </a:solidFill>
              <a:ln w="9525">
                <a:solidFill>
                  <a:schemeClr val="accent1"/>
                </a:solidFill>
              </a:ln>
              <a:effectLst>
                <a:softEdge rad="12700"/>
              </a:effectLst>
            </c:spPr>
          </c:marker>
          <c:cat>
            <c:strRef>
              <c:f>Sheet2!$A$4:$A$16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Sheet2!$B$4:$B$16</c:f>
              <c:numCache>
                <c:formatCode>General</c:formatCode>
                <c:ptCount val="12"/>
                <c:pt idx="0">
                  <c:v>3294</c:v>
                </c:pt>
                <c:pt idx="1">
                  <c:v>4087</c:v>
                </c:pt>
                <c:pt idx="2">
                  <c:v>3080</c:v>
                </c:pt>
                <c:pt idx="3">
                  <c:v>3296</c:v>
                </c:pt>
                <c:pt idx="4">
                  <c:v>2757</c:v>
                </c:pt>
                <c:pt idx="5">
                  <c:v>2840</c:v>
                </c:pt>
                <c:pt idx="6">
                  <c:v>2992</c:v>
                </c:pt>
                <c:pt idx="7">
                  <c:v>4054</c:v>
                </c:pt>
                <c:pt idx="8">
                  <c:v>2694</c:v>
                </c:pt>
                <c:pt idx="9">
                  <c:v>3582</c:v>
                </c:pt>
                <c:pt idx="10">
                  <c:v>3091</c:v>
                </c:pt>
                <c:pt idx="11">
                  <c:v>2706</c:v>
                </c:pt>
              </c:numCache>
            </c:numRef>
          </c:val>
          <c:smooth val="0"/>
          <c:extLst>
            <c:ext xmlns:c16="http://schemas.microsoft.com/office/drawing/2014/chart" uri="{C3380CC4-5D6E-409C-BE32-E72D297353CC}">
              <c16:uniqueId val="{00000000-2D4D-4BEB-A99C-EA4610AFAEBF}"/>
            </c:ext>
          </c:extLst>
        </c:ser>
        <c:dLbls>
          <c:showLegendKey val="0"/>
          <c:showVal val="0"/>
          <c:showCatName val="0"/>
          <c:showSerName val="0"/>
          <c:showPercent val="0"/>
          <c:showBubbleSize val="0"/>
        </c:dLbls>
        <c:marker val="1"/>
        <c:smooth val="0"/>
        <c:axId val="664699759"/>
        <c:axId val="664701679"/>
      </c:lineChart>
      <c:catAx>
        <c:axId val="66469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64701679"/>
        <c:crosses val="autoZero"/>
        <c:auto val="1"/>
        <c:lblAlgn val="ctr"/>
        <c:lblOffset val="100"/>
        <c:noMultiLvlLbl val="0"/>
      </c:catAx>
      <c:valAx>
        <c:axId val="664701679"/>
        <c:scaling>
          <c:orientation val="minMax"/>
          <c:min val="2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469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dashboard.xlsx]Sheet3!PivotTable2</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Products</a:t>
            </a:r>
          </a:p>
        </c:rich>
      </c:tx>
      <c:overlay val="0"/>
      <c:spPr>
        <a:solidFill>
          <a:schemeClr val="bg2"/>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pivotFmt>
      <c:pivotFmt>
        <c:idx val="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tx2">
                <a:lumMod val="75000"/>
                <a:lumOff val="25000"/>
              </a:schemeClr>
            </a:solidFill>
            <a:ln>
              <a:noFill/>
            </a:ln>
            <a:effectLst/>
          </c:spPr>
          <c:invertIfNegative val="0"/>
          <c:cat>
            <c:strRef>
              <c:f>Sheet3!$A$4:$A$12</c:f>
              <c:strCache>
                <c:ptCount val="8"/>
                <c:pt idx="0">
                  <c:v>Product-1</c:v>
                </c:pt>
                <c:pt idx="1">
                  <c:v>Product-3</c:v>
                </c:pt>
                <c:pt idx="2">
                  <c:v>Product-7</c:v>
                </c:pt>
                <c:pt idx="3">
                  <c:v>Product-6</c:v>
                </c:pt>
                <c:pt idx="4">
                  <c:v>Product-2</c:v>
                </c:pt>
                <c:pt idx="5">
                  <c:v>Product-8</c:v>
                </c:pt>
                <c:pt idx="6">
                  <c:v>Product-5</c:v>
                </c:pt>
                <c:pt idx="7">
                  <c:v>Product-4</c:v>
                </c:pt>
              </c:strCache>
            </c:strRef>
          </c:cat>
          <c:val>
            <c:numRef>
              <c:f>Sheet3!$B$4:$B$12</c:f>
              <c:numCache>
                <c:formatCode>General</c:formatCode>
                <c:ptCount val="8"/>
                <c:pt idx="0">
                  <c:v>61618</c:v>
                </c:pt>
                <c:pt idx="1">
                  <c:v>61618</c:v>
                </c:pt>
                <c:pt idx="2">
                  <c:v>72259</c:v>
                </c:pt>
                <c:pt idx="3">
                  <c:v>94726</c:v>
                </c:pt>
                <c:pt idx="4">
                  <c:v>106986</c:v>
                </c:pt>
                <c:pt idx="5">
                  <c:v>112906</c:v>
                </c:pt>
                <c:pt idx="6">
                  <c:v>116358</c:v>
                </c:pt>
                <c:pt idx="7">
                  <c:v>119718</c:v>
                </c:pt>
              </c:numCache>
            </c:numRef>
          </c:val>
          <c:extLst>
            <c:ext xmlns:c16="http://schemas.microsoft.com/office/drawing/2014/chart" uri="{C3380CC4-5D6E-409C-BE32-E72D297353CC}">
              <c16:uniqueId val="{00000000-3924-4623-AB71-348F37DBE4ED}"/>
            </c:ext>
          </c:extLst>
        </c:ser>
        <c:dLbls>
          <c:showLegendKey val="0"/>
          <c:showVal val="0"/>
          <c:showCatName val="0"/>
          <c:showSerName val="0"/>
          <c:showPercent val="0"/>
          <c:showBubbleSize val="0"/>
        </c:dLbls>
        <c:gapWidth val="182"/>
        <c:axId val="808470863"/>
        <c:axId val="808472783"/>
      </c:barChart>
      <c:catAx>
        <c:axId val="80847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08472783"/>
        <c:crosses val="autoZero"/>
        <c:auto val="1"/>
        <c:lblAlgn val="ctr"/>
        <c:lblOffset val="100"/>
        <c:noMultiLvlLbl val="0"/>
      </c:catAx>
      <c:valAx>
        <c:axId val="80847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847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dashboard.xlsx]Sheet6!PivotTable7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Call</a:t>
            </a:r>
            <a:r>
              <a:rPr lang="en-US" b="1" baseline="0"/>
              <a:t> Handled VS Sales</a:t>
            </a:r>
            <a:endParaRPr lang="en-US" b="1"/>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08316629459334"/>
          <c:y val="0.20696486437487213"/>
          <c:w val="0.49779489252445158"/>
          <c:h val="0.46896438599368956"/>
        </c:manualLayout>
      </c:layout>
      <c:areaChart>
        <c:grouping val="standard"/>
        <c:varyColors val="0"/>
        <c:ser>
          <c:idx val="0"/>
          <c:order val="0"/>
          <c:tx>
            <c:strRef>
              <c:f>Sheet6!$B$3</c:f>
              <c:strCache>
                <c:ptCount val="1"/>
                <c:pt idx="0">
                  <c:v>Sum of Calls Handled</c:v>
                </c:pt>
              </c:strCache>
            </c:strRef>
          </c:tx>
          <c:spPr>
            <a:solidFill>
              <a:schemeClr val="accent1"/>
            </a:solidFill>
            <a:ln>
              <a:noFill/>
            </a:ln>
            <a:effectLst/>
          </c:spPr>
          <c:cat>
            <c:strRef>
              <c:f>Sheet6!$A$4:$A$12</c:f>
              <c:strCache>
                <c:ptCount val="8"/>
                <c:pt idx="0">
                  <c:v>Product-7</c:v>
                </c:pt>
                <c:pt idx="1">
                  <c:v>Product-1</c:v>
                </c:pt>
                <c:pt idx="2">
                  <c:v>Product-8</c:v>
                </c:pt>
                <c:pt idx="3">
                  <c:v>Product-3</c:v>
                </c:pt>
                <c:pt idx="4">
                  <c:v>Product-6</c:v>
                </c:pt>
                <c:pt idx="5">
                  <c:v>Product-5</c:v>
                </c:pt>
                <c:pt idx="6">
                  <c:v>Product-4</c:v>
                </c:pt>
                <c:pt idx="7">
                  <c:v>Product-2</c:v>
                </c:pt>
              </c:strCache>
            </c:strRef>
          </c:cat>
          <c:val>
            <c:numRef>
              <c:f>Sheet6!$B$4:$B$12</c:f>
              <c:numCache>
                <c:formatCode>General</c:formatCode>
                <c:ptCount val="8"/>
                <c:pt idx="0">
                  <c:v>53276</c:v>
                </c:pt>
                <c:pt idx="1">
                  <c:v>56261</c:v>
                </c:pt>
                <c:pt idx="2">
                  <c:v>59429</c:v>
                </c:pt>
                <c:pt idx="3">
                  <c:v>59458</c:v>
                </c:pt>
                <c:pt idx="4">
                  <c:v>60416</c:v>
                </c:pt>
                <c:pt idx="5">
                  <c:v>62792</c:v>
                </c:pt>
                <c:pt idx="6">
                  <c:v>63690</c:v>
                </c:pt>
                <c:pt idx="7">
                  <c:v>64069</c:v>
                </c:pt>
              </c:numCache>
            </c:numRef>
          </c:val>
          <c:extLst>
            <c:ext xmlns:c16="http://schemas.microsoft.com/office/drawing/2014/chart" uri="{C3380CC4-5D6E-409C-BE32-E72D297353CC}">
              <c16:uniqueId val="{00000000-2A59-4548-A328-D9ED5AB9FD08}"/>
            </c:ext>
          </c:extLst>
        </c:ser>
        <c:ser>
          <c:idx val="1"/>
          <c:order val="1"/>
          <c:tx>
            <c:strRef>
              <c:f>Sheet6!$C$3</c:f>
              <c:strCache>
                <c:ptCount val="1"/>
                <c:pt idx="0">
                  <c:v>Sum of Sales</c:v>
                </c:pt>
              </c:strCache>
            </c:strRef>
          </c:tx>
          <c:spPr>
            <a:solidFill>
              <a:schemeClr val="accent2"/>
            </a:solidFill>
            <a:ln>
              <a:noFill/>
            </a:ln>
            <a:effectLst/>
          </c:spPr>
          <c:cat>
            <c:strRef>
              <c:f>Sheet6!$A$4:$A$12</c:f>
              <c:strCache>
                <c:ptCount val="8"/>
                <c:pt idx="0">
                  <c:v>Product-7</c:v>
                </c:pt>
                <c:pt idx="1">
                  <c:v>Product-1</c:v>
                </c:pt>
                <c:pt idx="2">
                  <c:v>Product-8</c:v>
                </c:pt>
                <c:pt idx="3">
                  <c:v>Product-3</c:v>
                </c:pt>
                <c:pt idx="4">
                  <c:v>Product-6</c:v>
                </c:pt>
                <c:pt idx="5">
                  <c:v>Product-5</c:v>
                </c:pt>
                <c:pt idx="6">
                  <c:v>Product-4</c:v>
                </c:pt>
                <c:pt idx="7">
                  <c:v>Product-2</c:v>
                </c:pt>
              </c:strCache>
            </c:strRef>
          </c:cat>
          <c:val>
            <c:numRef>
              <c:f>Sheet6!$C$4:$C$12</c:f>
              <c:numCache>
                <c:formatCode>General</c:formatCode>
                <c:ptCount val="8"/>
                <c:pt idx="0">
                  <c:v>3740</c:v>
                </c:pt>
                <c:pt idx="1">
                  <c:v>4784</c:v>
                </c:pt>
                <c:pt idx="2">
                  <c:v>4383</c:v>
                </c:pt>
                <c:pt idx="3">
                  <c:v>5152</c:v>
                </c:pt>
                <c:pt idx="4">
                  <c:v>5419</c:v>
                </c:pt>
                <c:pt idx="5">
                  <c:v>4517</c:v>
                </c:pt>
                <c:pt idx="6">
                  <c:v>5422</c:v>
                </c:pt>
                <c:pt idx="7">
                  <c:v>5056</c:v>
                </c:pt>
              </c:numCache>
            </c:numRef>
          </c:val>
          <c:extLst>
            <c:ext xmlns:c16="http://schemas.microsoft.com/office/drawing/2014/chart" uri="{C3380CC4-5D6E-409C-BE32-E72D297353CC}">
              <c16:uniqueId val="{00000001-2A59-4548-A328-D9ED5AB9FD08}"/>
            </c:ext>
          </c:extLst>
        </c:ser>
        <c:dLbls>
          <c:showLegendKey val="0"/>
          <c:showVal val="0"/>
          <c:showCatName val="0"/>
          <c:showSerName val="0"/>
          <c:showPercent val="0"/>
          <c:showBubbleSize val="0"/>
        </c:dLbls>
        <c:axId val="834198687"/>
        <c:axId val="834197727"/>
      </c:areaChart>
      <c:catAx>
        <c:axId val="834198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34197727"/>
        <c:crosses val="autoZero"/>
        <c:auto val="1"/>
        <c:lblAlgn val="ctr"/>
        <c:lblOffset val="100"/>
        <c:noMultiLvlLbl val="0"/>
      </c:catAx>
      <c:valAx>
        <c:axId val="8341977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8341986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dashboard.xlsx]Sheet7!PivotTable8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_Time By Products</a:t>
            </a:r>
            <a:endParaRPr lang="en-US" b="1"/>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9.166666666666666E-2"/>
              <c:y val="1.8518518518518517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5.833333333333323E-2"/>
              <c:y val="-6.0185185185185182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4.4444444444444446E-2"/>
              <c:y val="-8.333333333333337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schemeClr>
          </a:solidFill>
          <a:ln w="19050">
            <a:solidFill>
              <a:schemeClr val="lt1"/>
            </a:solidFill>
          </a:ln>
          <a:effectLst/>
        </c:spPr>
        <c:dLbl>
          <c:idx val="0"/>
          <c:layout>
            <c:manualLayout>
              <c:x val="-5.8333333333333383E-2"/>
              <c:y val="-7.8703703703703706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schemeClr>
          </a:solidFill>
          <a:ln w="19050">
            <a:solidFill>
              <a:schemeClr val="lt1"/>
            </a:solidFill>
          </a:ln>
          <a:effectLst/>
        </c:spPr>
        <c:dLbl>
          <c:idx val="0"/>
          <c:layout>
            <c:manualLayout>
              <c:x val="-7.9166776027996488E-2"/>
              <c:y val="-2.3147965879265091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333333333333323E-2"/>
                  <c:h val="6.4745552639253412E-2"/>
                </c:manualLayout>
              </c15:layout>
            </c:ext>
          </c:extLst>
        </c:dLbl>
      </c:pivotFmt>
      <c:pivotFmt>
        <c:idx val="6"/>
        <c:spPr>
          <a:solidFill>
            <a:schemeClr val="accent6"/>
          </a:solidFill>
          <a:ln w="19050">
            <a:solidFill>
              <a:schemeClr val="lt1"/>
            </a:solidFill>
          </a:ln>
          <a:effectLst/>
        </c:spPr>
        <c:dLbl>
          <c:idx val="0"/>
          <c:layout>
            <c:manualLayout>
              <c:x val="-9.166666666666666E-2"/>
              <c:y val="4.6296296296295444E-3"/>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8.3333333333333329E-2"/>
              <c:y val="7.870370370370354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dLbl>
          <c:idx val="0"/>
          <c:layout>
            <c:manualLayout>
              <c:x val="8.3333333333333329E-2"/>
              <c:y val="7.407407407407407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4.4444444444444446E-2"/>
              <c:y val="-8.333333333333337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833333333333323E-2"/>
              <c:y val="-6.0185185185185182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9.166666666666666E-2"/>
              <c:y val="1.8518518518518517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8.3333333333333329E-2"/>
              <c:y val="7.407407407407407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3333333333333329E-2"/>
              <c:y val="7.870370370370354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9.166666666666666E-2"/>
              <c:y val="4.6296296296295444E-3"/>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7.9166776027996488E-2"/>
              <c:y val="-2.3147965879265091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333333333333323E-2"/>
                  <c:h val="6.4745552639253412E-2"/>
                </c:manualLayout>
              </c15:layout>
            </c:ext>
          </c:extLst>
        </c:dLbl>
      </c:pivotFmt>
      <c:pivotFmt>
        <c:idx val="17"/>
        <c:spPr>
          <a:solidFill>
            <a:schemeClr val="accent1"/>
          </a:solidFill>
          <a:ln w="19050">
            <a:solidFill>
              <a:schemeClr val="lt1"/>
            </a:solidFill>
          </a:ln>
          <a:effectLst/>
        </c:spPr>
        <c:dLbl>
          <c:idx val="0"/>
          <c:layout>
            <c:manualLayout>
              <c:x val="-5.8333333333333383E-2"/>
              <c:y val="-7.8703703703703706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4.4444444444444446E-2"/>
              <c:y val="-8.333333333333337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5.833333333333323E-2"/>
              <c:y val="-6.0185185185185182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9.166666666666666E-2"/>
              <c:y val="1.8518518518518517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8.3333333333333329E-2"/>
              <c:y val="7.407407407407407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8.3333333333333329E-2"/>
              <c:y val="7.870370370370354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9.166666666666666E-2"/>
              <c:y val="4.6296296296295444E-3"/>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7.9166776027996488E-2"/>
              <c:y val="-2.3147965879265091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333333333333323E-2"/>
                  <c:h val="6.4745552639253412E-2"/>
                </c:manualLayout>
              </c15:layout>
            </c:ext>
          </c:extLst>
        </c:dLbl>
      </c:pivotFmt>
      <c:pivotFmt>
        <c:idx val="26"/>
        <c:spPr>
          <a:solidFill>
            <a:schemeClr val="accent1"/>
          </a:solidFill>
          <a:ln w="19050">
            <a:solidFill>
              <a:schemeClr val="lt1"/>
            </a:solidFill>
          </a:ln>
          <a:effectLst/>
        </c:spPr>
        <c:dLbl>
          <c:idx val="0"/>
          <c:layout>
            <c:manualLayout>
              <c:x val="-5.8333333333333383E-2"/>
              <c:y val="-7.8703703703703706E-2"/>
            </c:manualLayout>
          </c:layout>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90-4BF7-B8E1-9C271C6274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90-4BF7-B8E1-9C271C6274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90-4BF7-B8E1-9C271C6274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90-4BF7-B8E1-9C271C6274E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690-4BF7-B8E1-9C271C6274E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690-4BF7-B8E1-9C271C6274E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690-4BF7-B8E1-9C271C6274E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690-4BF7-B8E1-9C271C6274E9}"/>
              </c:ext>
            </c:extLst>
          </c:dPt>
          <c:dLbls>
            <c:dLbl>
              <c:idx val="0"/>
              <c:layout>
                <c:manualLayout>
                  <c:x val="4.4444444444444446E-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90-4BF7-B8E1-9C271C6274E9}"/>
                </c:ext>
              </c:extLst>
            </c:dLbl>
            <c:dLbl>
              <c:idx val="1"/>
              <c:layout>
                <c:manualLayout>
                  <c:x val="5.833333333333323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90-4BF7-B8E1-9C271C6274E9}"/>
                </c:ext>
              </c:extLst>
            </c:dLbl>
            <c:dLbl>
              <c:idx val="2"/>
              <c:layout>
                <c:manualLayout>
                  <c:x val="9.166666666666666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90-4BF7-B8E1-9C271C6274E9}"/>
                </c:ext>
              </c:extLst>
            </c:dLbl>
            <c:dLbl>
              <c:idx val="3"/>
              <c:layout>
                <c:manualLayout>
                  <c:x val="8.3333333333333329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90-4BF7-B8E1-9C271C6274E9}"/>
                </c:ext>
              </c:extLst>
            </c:dLbl>
            <c:dLbl>
              <c:idx val="4"/>
              <c:layout>
                <c:manualLayout>
                  <c:x val="-8.3333333333333329E-2"/>
                  <c:y val="7.8703703703703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690-4BF7-B8E1-9C271C6274E9}"/>
                </c:ext>
              </c:extLst>
            </c:dLbl>
            <c:dLbl>
              <c:idx val="5"/>
              <c:layout>
                <c:manualLayout>
                  <c:x val="-9.166666666666666E-2"/>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690-4BF7-B8E1-9C271C6274E9}"/>
                </c:ext>
              </c:extLst>
            </c:dLbl>
            <c:dLbl>
              <c:idx val="6"/>
              <c:layout>
                <c:manualLayout>
                  <c:x val="-7.9166776027996488E-2"/>
                  <c:y val="-2.3147965879265091E-2"/>
                </c:manualLayout>
              </c:layout>
              <c:showLegendKey val="0"/>
              <c:showVal val="1"/>
              <c:showCatName val="0"/>
              <c:showSerName val="0"/>
              <c:showPercent val="0"/>
              <c:showBubbleSize val="0"/>
              <c:extLst>
                <c:ext xmlns:c15="http://schemas.microsoft.com/office/drawing/2012/chart" uri="{CE6537A1-D6FC-4f65-9D91-7224C49458BB}">
                  <c15:layout>
                    <c:manualLayout>
                      <c:w val="9.2333333333333323E-2"/>
                      <c:h val="6.4745552639253412E-2"/>
                    </c:manualLayout>
                  </c15:layout>
                </c:ext>
                <c:ext xmlns:c16="http://schemas.microsoft.com/office/drawing/2014/chart" uri="{C3380CC4-5D6E-409C-BE32-E72D297353CC}">
                  <c16:uniqueId val="{0000000D-8690-4BF7-B8E1-9C271C6274E9}"/>
                </c:ext>
              </c:extLst>
            </c:dLbl>
            <c:dLbl>
              <c:idx val="7"/>
              <c:layout>
                <c:manualLayout>
                  <c:x val="-5.8333333333333383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690-4BF7-B8E1-9C271C6274E9}"/>
                </c:ext>
              </c:extLst>
            </c:dLbl>
            <c:spPr>
              <a:noFill/>
              <a:ln>
                <a:noFill/>
              </a:ln>
              <a:effectLst>
                <a:outerShdw blurRad="50800" dist="50800" dir="5400000" algn="ctr" rotWithShape="0">
                  <a:srgbClr val="000000">
                    <a:alpha val="97000"/>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Sheet7!$A$4:$A$12</c:f>
              <c:strCache>
                <c:ptCount val="8"/>
                <c:pt idx="0">
                  <c:v>Product-1</c:v>
                </c:pt>
                <c:pt idx="1">
                  <c:v>Product-2</c:v>
                </c:pt>
                <c:pt idx="2">
                  <c:v>Product-3</c:v>
                </c:pt>
                <c:pt idx="3">
                  <c:v>Product-4</c:v>
                </c:pt>
                <c:pt idx="4">
                  <c:v>Product-5</c:v>
                </c:pt>
                <c:pt idx="5">
                  <c:v>Product-6</c:v>
                </c:pt>
                <c:pt idx="6">
                  <c:v>Product-7</c:v>
                </c:pt>
                <c:pt idx="7">
                  <c:v>Product-8</c:v>
                </c:pt>
              </c:strCache>
            </c:strRef>
          </c:cat>
          <c:val>
            <c:numRef>
              <c:f>Sheet7!$B$4:$B$12</c:f>
              <c:numCache>
                <c:formatCode>General</c:formatCode>
                <c:ptCount val="8"/>
                <c:pt idx="0">
                  <c:v>6250</c:v>
                </c:pt>
                <c:pt idx="1">
                  <c:v>6186</c:v>
                </c:pt>
                <c:pt idx="2">
                  <c:v>5132</c:v>
                </c:pt>
                <c:pt idx="3">
                  <c:v>6107</c:v>
                </c:pt>
                <c:pt idx="4">
                  <c:v>6321</c:v>
                </c:pt>
                <c:pt idx="5">
                  <c:v>5961</c:v>
                </c:pt>
                <c:pt idx="6">
                  <c:v>6009</c:v>
                </c:pt>
                <c:pt idx="7">
                  <c:v>6207</c:v>
                </c:pt>
              </c:numCache>
            </c:numRef>
          </c:val>
          <c:extLst>
            <c:ext xmlns:c16="http://schemas.microsoft.com/office/drawing/2014/chart" uri="{C3380CC4-5D6E-409C-BE32-E72D297353CC}">
              <c16:uniqueId val="{00000010-8690-4BF7-B8E1-9C271C6274E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title pos="t" align="ctr" overlay="0"/>
    <cx:plotArea>
      <cx:plotAreaRegion>
        <cx:series layoutId="regionMap" uniqueId="{4644851C-7884-4F33-8204-E9899A80668A}" formatIdx="0">
          <cx:tx>
            <cx:txData>
              <cx:f>_xlchart.v5.2</cx:f>
              <cx:v>Sales</cx:v>
            </cx:txData>
          </cx:tx>
          <cx:dataId val="0"/>
          <cx:layoutPr>
            <cx:geography cultureLanguage="en-US" cultureRegion="US" attribution="Powered by Bing">
              <cx:geoCache provider="{E9337A44-BEBE-4D9F-B70C-5C5E7DAFC167}">
                <cx:binary>1H1Xc9xWuu1fcen5Qt55b0yNzwO60QwiKVLR8guKCkbOGb/+LlC2pxvENI4851bd46opl9UiV385
7/nnl+EfX5Jvj9VPQ5pk9T++DL+8CJqm+MfPP9dfgm/pY/0yDb9UeZ3/3rz8kqc/57//Hn759vPX
6rEPM/9nRqj4+UvwWDXfhhf/9U/8Nv9bfpN/eWzCPHtov1Xjm291mzT1mc9WP/rp8WsaZvuwbqrw
S0N/efE2zL4GL376ljVhM74bi2+/vDj5Ky9++nn5i56B/pTgezXtV/wsUy+JsbUgWpKnf+iLn5I8
8//4WJmXhtqa2FrbT//oP6HvHlP8+Oa3efouj1+/Vt/qGrQ8/fuvHzv54n/96Ze8zZqZYT5498uL
+8cY1D9mL34K63z3/bNdPn/3+1dPxP58yu3/+ufiD0D+4k+OBLLk1dZHz+Rx/5hFj5//5Mp/LhBO
XhpmbCUYP5GEZi+pEJQLSb9LQvyJ+V0S9+3W91gXxZ8/t5DFn3/8v0sYr+5f/QR9CZo2i4P+8U8O
/Q9IRbwURhnNFfvOfbMUDqxIKNum361I/gn9XTivgvHzt+q/+9XWBbX2OxZCW/sr/7sE6Dwm+Zfg
D3v/H/Nx5iVnXAup/xCefSI8JV8aIznX5o+PFz7uv/md1qV28sMLcZ189v+3nP7ttzuW0clf+tE4
ZL/ksCwpNUxnGYAkvJ5Wpyb1r7Dw77/Cukj+9ZMnX/j/faT591Horwi9f2we3afQfhSIzn/6RCSy
jcWPnssQvnPs6usvLzRjkhoo/F9Jw/xr/vjZlRB/8jPfHusGv4K+pExQrQiT3CaKQYD9t/kTpV4q
KSizCTOcEU7Zi5+yvGoCpB3mpWRSCmNzYXMl52BX5+3TR/ylJpzBl0ojbEVs8VdCdZ8no59nf/Hj
j//+KWvT+zzMmvqXF5S8+Kn4/teevis3UlJAEyOUUgS/Dp9/eXyDpG3+2/8npknCe6sXbhO0t2N5
sOuLZDhERl3Gw6GMOkeHgzOFiXPEoxVcEL2E5VJzTSQnktlsATvFU5bUIpXuRKobbzCPgRpfTUT8
dh4GRnAOhs/UH1EXTqFkiYmlq4LQc3jp38lMkF1q8kNmTb+eB1ujSRFDlCSCg5kLmnwthk4b0NRX
05e6y65MVL4ak+JvsO4I5kmiRzQV3tDEQ5tJ1xDt1sa+asLpduynw3lq1lhnqGCMC82NspH4HrNu
NLyZRj1JN47VbcCGd/kwvU36unf8UoZ/gybDKLGlYBT/m1l7RFMeepOO2lG6dtDdd22zC5S6MUOy
QdMsgYWy82OYmeYjGJ3ypApr0JTowBHJhZ5CR+l4n2QfZHIx2YGb5tfn2bimFMeQ8CXHkFHl5dRU
oIy0/pWyi8vKyENUsA0GIrtdUibAOG6EMVxTtpBWxqucZFEHyqb22pss1/fCux+m5ASCnVISWLGn
pqKBjMjvhUrCi7ETB5+Oxv3PcBa6oFvC4r4DjhkL8eB3QXJgYzhed0FabFgshRtdYRsyG2IQWeFu
T2lSRTuOgvfSLbzfgv5AA/K6SYXDbhtrFxTXVe65ilm7oTyk2aeeBBtSQ1Z8Dt5euCc+aZNP8SBd
j2dOS4PL2eGm5ENbtrsk0Q6rN2S4BbhQk8ZPkjoQAKyvE7I3zcGL5D2b6n2evmFV+vA3JKmQ9jMD
J49Qespdr69NkGgoZTUkg2OR5F2pgquqaF6fx1lV/iOchVkbamXdELfStUpzm472uz6zNjzHWpwU
9AhjYcc6tOoynLU/stuDHEjiSjJe1GXlyj5zOtPdBYV0LDN+DMfk23n66EzAwm8JJpAmwB3bCsn6
KSNpEZVhk1TSHT3xmHMy7HSrXlmdfEiH+Gby5NXI2a8sr6gjO/tAWOamaXYR16RweDC5cVbdJDLe
sJ41ZRI2pXP+YGtqFuKtPFrHPM6UW/Pocyni1Bm80SmjdFfN/6Er/T6ON+SwxoljzPk7HXlwWms9
CC9XbmC3tRP49rek4Z+K6X3M6q1Au4alqTZGSCQoiIKnWEEnRyaRz7lae5/aie11Xu2KkH+wgw1D
mZVnKd9jpPmbHFHFfWW4l0vppuH4qis7p1R0R60PCFHKt/bntWlNbJoJLZF8Ih2lCx+g65hEPAdZ
dkBeBb745LVyl4cXyPfE6Lma2xtebiXqgnlUQX0Nakix0JM2HGRHYyNdTofDIOod8W6GKnZkGDmm
vlCZdHRZ7M5TuSq8I9AFSytkSDrxNZIxwz+SYrgdAr6bWHJXjPUGQ1d9wzGBC98gJq1YWoNAL7F3
QpiHPGsuCawyjozbhtmd3fq7lkcHlqvqb4FLqQxBJk2fKoVj3bFCTSxuIcEY4+KqpWGyyxS1rphd
RM6k+7tEh29iQveSKvuVSPLgxxMcoUGgragwFC2Ehe7qoBW5FSm3Yfx1nNmXSOUu/l72oQ2yauis
DXNYGKMxSTGMIlHuZOJ9kbALMpavklK759Vm1ThsAhTk8BJt61NqRFI2bdoVyvW7uEbd897uSbYj
IXubdc0HrXfjqKoN+1hV1SPMObwdWb/sBQunCD5tKnqHZEG+e8qsVOjINMo2wNaM0XAk9lxpzVCD
nYLBnQ1EWjXsIn8TRS2SLLZPxtDJ6sTx8tzxm+hysq7Oc5XOJCwd3DHqwm1L05DeniM0DXK5Tzt+
65nkXa/71Kms/D7MSXsIY/K+1u3HjviRYxXBPiDN51ymbN+lw4Z3WDVZg3RW2wr1r17my4NFdZ2P
sBphfcjT1yh5ae5dBc3HYfrErQ8yyz7rfsNSVpkgjZY2FAuRY6HCRCVdaCZEcS1Ufsl4HR6qobw4
z+pV+QKC2xwdV0EWIF2uB4sVc6oQNjc0oZ9A/rfBDy5aE41faFHGe9Wz4DIQwdfzyGvkwQlAzJpL
rpam048miuqoV26rqe92VfzQJIxuqO+q4GybweEI2zb2U0Z/ZCx96Cspy+nJD1z5vphuajv8muTm
HemjcmcJ+npM9b7Ko98bWtCNQD2HqqUeow2nuBBzABULZxcQWSdDCxpp8BsdBduTMdiNubUVvVZ4
KWd/LlE6MgKunloptyVPkrRTbkeLCxoE7yM41vPiWvE6ksyc1MqgZlxaQFp5aV9OgXItP9oZEr9j
dbDPQ3PBgnhDJ1e4dgLFTqlJ/SykugmVy6X1upO1GzaqcKLYrzfMeg2ICgIwtLOhhgvnFuWyV6JB
kGj80nLt2r8qW6b329nFipVJuFDkMhw4lMxf5EgL6dC3NsobheziLpwem6DYlbp3hinfWZrP2dSY
b+nESmgCJnoxlKOUep6OVpNvp1GrXJJ8FEm7Q8didlv6rmO+m5Rkg5d0hZlQPKIp5ehAyiWNg7A0
qQL47Nar96KqbloBTVFBTp2sT8JLyxTermmS/MKw+FJb/CouY/2mD0d9KLIx2WvW6J1Okw1tWrEN
WzOinjwAZ2ZhG/3gV7VdoM2mlHBCMTEnGnxvw8+sWIetkU4ZxRR6pPbCjUprTFNPBdIdfG4f+MDa
h2LKkLcKKzzkXWc2uL1KFOpkqm34NbLsHQZ5hVpZWGhEFIHeSV6n9zrKvA3WrYkUvQ44Fky0EYYW
VBUZmaaGKvT0KnkNI3zHhvgqbQf3vGuZG9dLN2kf48zUHpmHVWUMBTPqGcsenVk1Pf4QpmSfkbnP
FlrvG0kcNN1icjF5N+fBV0zzBHthmlWedM2Qg0YeBpGD5vZFXvIPozJXKouujE4/ZRm7FmYKNpg7
O5dFbLANJ4qi94tW5jKz8tpO9OjhKFcG6aFtR+1E5UfPgP4odcRYX52nc1WWR3CLlGqws662sj/8
N5uir0JPr4dwK71fU8xjqhYRr8jpEPgEvptGozx4iUdet3EuP58nZq0RB+YJgokGl/azBnBP8zSW
GaqITuvPQ5YRxxb+JRmUayzlojT+YtfUtYLmWqDd0uTkBly9q0S5P/9FVpysbQSx0YU2XNFl4FVR
nKLRAq6WHeqn1m8uqtq/jZL2o1VZlZN6bNgNEd3IDNe8zTHqIkAylsMwCzC59emDpeNsF3tlsvPT
JHfz0Ys3nM2q6kiKXhK8OmVqYSJlIcosD2PlZjrdF7TcB2XlNKT+vk/yfZ3k/rvqH8+WVi0ROZKG
XAni1WwwR14g6UOr5wksUcpEOHGQX4xBv4+L0p2Y90XQzkF+J3bFSAv3vBRXlRYdqafwPMfMU2Q9
FNoXfDbFTA47r4lbp1fTp/Mgq0I7Alk4uTj19VhJgPBOiTsaJf51XWfTLqjzaY9mc384j7cqtSO8
hdQiK4mKJvOVq4T1LmqqhyRkgyOLPNqIfevckwhGyAphDYsAG5Gmt5MYtojA+KnLposi2+pDr9Ji
25xzytFfowvVyAWvCmEPCBBhsu+DEUJiFEtZ9f2P8wydu+/FLpokC+/VJp0uELylG3boTnbMpTq/
4pb147k0xrHEaIbSDZXXgpxksH3LQ9LmVl1zS61C7HQQfjGe+tba+YZur7EOeRnFnFFpmyylY6FR
0A8jrMry9Jswtpy8ELeZnW3ArGk3mrro2EnUkVTMnx8Zr7EHFcINI1VovTuMJCy0tjAGGRBHz4to
TduOgRa8K31edDLh8BLNdGWHweBQkf9+HmP+HcvQfIyxjJWsRIc1g3xqgWYji3VzrarpQ+eTm1CX
H/1Adhs2tJoCHUHKxWgnKGPGrQn8m6e0mKsjT0e2LlBjzel0ze5EdTuXCj5cL5N/i6cIYBiva2KW
KTIRRZy18+zWqsf4uh8mc5BxFm6oyFOn+BlbDZpycLTIkZcDAKrDsAs12Dp2ci5HWhLtbD3cl/Qb
msnYJED7nyjLqVi7IdBV7TxCXminkAHzsHGBLlaRXrFS/FpF9oNXWW5Ou2/nded5RqAI2GhjrxAd
TnvJy3HwSo/VtnCHIEZbYyKpo8h42U7kMtScOPlk7sSQNBvM3YJdpARF2Po+lkCE68dYzXIyweov
hU0xscuq+Lqox/qWB2Hh8qahW8XPc5MEydgHU9oQ7FPO+y8ntp9L5pvYEm7eJA9BE1yNhMYbBvLc
JE8wlqPPnGufonMt3H5s3gS2d9P0dBck/n2jko8Kud95Ka70jU7xFkGt8qk3NtTHgJx9o7namXI8
zJUPnSKnZ2aXW831qCZkeLfnkVeZaVMttJr3XZZDUOWhhsZ+BfRHWxqqY7ldgQnPeZDn9gDqoKIw
efSlEIFOJUapGHzZQ1sqrAg4SSv3VqkPvZgOlmqtjfRxJVmf0YyCRTDK9TJJbkokx14DkppkEPs2
xWpNmIWHrq9rxyvYJ7+L3rXtsG98vjdK37I6/lpNgdwL02zIdVWNjr7KwkxqKoKuqqRwSU6TXRoE
6ZVu+HSt9VRfkCZr3hS8jzfc6xq3KfpmQpOZBUuRWkMgWIxVFrfviw/IMfZpUbw1XvN20N3Djwv2
GGrh6Owo86sES2KuruUnOU4XcyFLPO8eCdpGEbKmqHPKTLFdjTHOUqqJ4S33cwGqfP0GDa5DHVZb
Cw9r4jrGWIir7Tr0j2om3KAlgUvQHual2aksZg6pzVWBHYzz/JPPIj8a0UdELQ0jjNH8i8C/QlDb
8UW779oy3Us7+ngeaM4kT2MhFvwIZmjopSphlt3vqvPblGKZxBW0bN4FRid3SWkV6IMHhVupxNp3
RLDrvOf2Q1QW3YYdrAmPoZhDO3Iexy8T3YaFlc9GKtxJYacpRnVQD82GgqyT+BeGXqQ0aaFYaRfA
EBbflVHodPndgJ2YFv+KbSwaVA4txf48X1cd9xFleuG4kXg0LMJY0K3I6FiS7pFXpNkHo1GNd6VD
fLL3Bow6f3ycAYGiNIF9YzlILQeOmS9TqSZMiMJkTK5yloY7jG/qvyO3eSRkqMGGx1JtmhHF4lQg
hRINRVucv+JU/3AZPhPyL4iFzeV5VJURQzLYpNVXZfWvRalzx+LFrstTl4XhNVH9N5/JjdprzUse
4y5Mz448kbK59rIGft36/KMf95XLrTbbM9k9nleTNcfCcF3AMdNTjC/1f8jQMe4CLHKhOd6Y8A7p
dm6X16R822ztwa3S9S+opRkw6ptaiA50dcNtmJRvorb82Nr1bw1NN8L6qlUfQS10XwjPSv0OVCGq
Vk5esqvI2PUGyJqLPGKdXuhHxGVaDAogdskOWHPonbpsSge7VBtrWltAC4Uoc9sexgxFvycS4qYZ
uR6CJHNpYm+kXOtAmNARypHILsvxvAior6dZ44f0dmoDt5XpbRWFW9FsC8ecZl0RPH3T58ApkDyW
BX2DceQH2ZmL87q9BTP75aNSPNEF6YQHGK9rHXu0r1VRXiEz+XQeZs2EOEUXQ6Jjh7Xy+WscwWA2
IHJZQTzYu33jl3a7HzPmJl7+kZLgEgdFG7uIa3bE5534eVANB74gy+Pe5KN8FG5Xl3t49DyxHqoB
Hfq/FUI4hmYKG/OM6WWdGthdN6gWSYAvya5DYoryu8oO9fhrm2TO8Eb5N5be6iSvBi6skKD6VgYr
7sucfJI2pvsc4bKi2cXYN9e8Dh5nlk6WKJ0uSr6hosyRE0eXdWiVG1a95jo4whYODySm5MtsjgRB
xdFwFwgq0egUBXdGnqcblcCqCI9AFq5DmDbGsQYSYRWX1UMU8+RdbusydHort5yoScRGTFnRUTQM
MXBFvCQgbeEQZeIxUrW4VuiauCNOnRXFPmFB6qRZIdxy4M3B8Kr8fN4yZjte5HaIKpgJzFeHkqmZ
DUeWUcm6YF1bQX8G65qgzxtrctVE1a9jzD+PtrxUIdvyLWuUHmEuo0xjqbjpC2BKFoidRXj6ezyS
aR/6U7EfCpUVjt0EgXue0i3UBX+Dtopj4tfQGhG+TrKyxU5Q7LaoV7uE+86UkY1p3UoPCVMWgdxn
XszHRtLCC8jQr0xAILy8ti/sKbjlJh2dFIMsJzXDwUqr8Dqth+6SFwn0KpU5hiT9Roq00q07+RbL
OxE0Ukbs5JfCpdhJMPzBt7CYlB3mOT5OYgLqtOnHXkWOVNG+5smGGa04eGTsiMHzBh32kRaBEefF
aTnliXCzLLpTQxy1uLoZqxtLDfb7HxcwShRMfxmqhGfzrbKr/carYnQj/HYvhuGNHvLfBEkuIlVG
mJTY4QZtKy4CB7kowbDHIgX84KntxOUQV7YBYJbWe7SzL6qifT/kOZKA5uE8bfOvWpgpKjAbKwHY
0Hk+9bFInxZxGgi3bdvX9hjTXe1hn372fRDtZWSRz0k80QuMiLOtKmU2jGfYTDH0RWZNXs7ve1Zb
Xo8dCHeCg9d2teutwVVe/tjpbNd4/nvdV/sqay8wQbys/SLc+AIrbMZO2V/4T8HoyEU1qddFZecL
N63TmzAXjwUtXgVecD9lW6XmKhQWvAwWbNAtWC4R5HXallPZQKJxdD+NH1rV7YM2RCPvw3l5rgFR
NF6NwVEVtjEXZlHooTfKsrlrWWPmhGn5do6gyqp2jU+6DT1d8fEMGz0ERRjuj54tBFZD0DZqgvKU
VndbetZ+SG1XeAruwPhXqOwPEzZ5r85TuBKkAYqrAoIKDTd4C+PA5lXKmtCD1ohmV/tmcsAK/uOZ
wDHIstNqY/nZsxuAlGN11RVY/PDoj1exgMA6HgihyBznsHKkfcSyTJD50H4r6q3dGPBrHRd/o045
AVlk23IssfkTAKQQpHYG3n7xcobNkubX80JZiYGI9GjmcBu3b3KZYwxDJjKLRnN308odyuPqko4U
S8ejyhxO+GvZd/aG+a4qAmSLOwpsLell+aqg5okZQRu1o/JArPQRx3dbbf21jJTBE+OwFOs/mLwu
1K3F+l3VWUAZcusyqVLiZBPUTali2JUiuSt9YZzC8oSTmOLSS/OtidGqkSHMYX3TaBv+41RPOtSV
RTDCS3l2jXFNc9XVg9oTjc6RUPT9UHRXFLvqG+XgIi5gm+N7DwcFIS7jnjE31zomaYUJo4r9RxLB
ysQwxu4YfNER0HP2W5kltjNkXG84lSXHv0NjDIc6B91yvYzsNCgH42Uo3ZBMpDW/xLZxJX81Refk
vrfzBn+fieGS22/Oq/DCcz6DndXtyB7jOMV1TIJSTmv51tIHD+lpawcXaTVtWP4qksAJs8DSpRLL
Ii4lfpdFHpohpgh3vBjHXYKbhzSK9lZP5YYnW+RJ38n6F9hyppqMJPZwSYaWnNXPqzKXeLUA9aLe
oGlhjN9hbNz9IJijo7RsH3hpORSYaEJfGnMdZckHkqYfzwtojRKO8kxLnG0wjH9OBRSyDmfg80C6
RZlt0fpdS/Q1j3AFeB5nVQGPgWaLPNKETHRJRSsA9fnXQYdOaJNLZLVTEx+gi5jZivhT+qMDxCcO
4nAdLXX0w9GhXaDS2Bv5OFRyLpjuGsu8HVHonqdsTfGOINSiGT1kObczCQiSBg+oAO9MH96YRhwS
T7w9DzV/26Pc7js1yHU0RbYjxLITrKwcOwrYeXcr5l3449Nh8t5uVOyIXt90XvlbJMdv5zHXfBY/
wlxYcBJ5qArgVdxBXmZW7XTF60QIbAv8Knzyymu+6avzgCsaiS1fNCpwlY/rl+VOWOgF2vKUN7fZ
KwcblI5d2a/jttuAWQTXmZc4PJG4+5fYmLGXS8WlDKDlKQZAqvpSku6AUzA8gLDHFmhgWxtyWyVJ
Y4UMZx4cOd0i2lRatnGo0GBq7fjgVelbTsJXoYm3SvU1HBuBBZ4GyT+zl9kP9gVTO4G/GGuFnpmH
u6HS7EWstqa8K46J27ApNOgEKo2lIsIHWyKKKa5osnbPevvXmqqv59VgWY8/CQiBCjUbrEvKZdIN
rW5i2qJr1XjjQ9LJKxyUNFgO9F4ZHdySvP1d5QnSIrDS98dPqfS2zi6Xi+ffv4JBJxLrVBSaONvG
kc/yCpNhdIZ23dBlN12fXjOSHlLUx45ldx8nZtwgC66ntPlMJFbhB7PP/PHViMk6Vp4vkNYMG150
le94bAPCRYR7NsKPlT8kpkSby2bVm7hkj/7UbECs2cU8OtToMiEvWjYLfb+21RRNaPeEnLiB6uRn
KVv/U9kG4avcSr3DFPT2uw1hr3g2QfA6Cd7/4DDI5WwtS0vJvQyztQQjtJvelvHV0MVq1/UZxDvl
Reh4Igocu2bBR6IVP8A/ZnB7LNunpTGHzoraHXKNyin7cnBGVTY3Q2JLt4zTrV2+FY+PE2iYsbEl
9GJpzmk1dnZVw5zZnC5aH0wR3WbxFzsjh/NsWRH3CdD8+ZH+tVYWibzGekMuzNtZ3NQv9n8HQmEr
xJ5b7cslvoRnypK9wbjW65rd4GFvKiHlRvbJ2PPAhWoWgQLPd+BgZGnLleJdF4RwtnlZk3dpljav
sTaVlLug6+KdUSG5Fc2UX1CB/TcWys5FG4e+K+Ihqxyslzc7rguzb+wh/BgEtnxVoAL8Tfcqd9B/
4e/7tla7ROvu7eT31OmTQW+MnFdlfkTBQhQkxBMxXQoFLZj6OHQNuvV5+sDxlOAuTbZG+GtgqE2w
+TTXJ2oplK7xKasCtADwys5bNbCPAdYF6sK8NmG3MQpbc7Ng5b+wFoQFUUrrvgWWKdBX7Zi8DLM0
cyrV7FtWuAHzf59wxT8/FmKS8kPVdhfnNXCd2PnxHwZHS56+4JGS5xkCTEZQ5ZqI3tOpezsUcbNv
SuwuR43/N8DQmoNnlzaOI5bdsbbpEp2QHDcZRkwOic1VDzFW0lxOmxeCaz7tCGvZCStUZKeZVyIa
S+PY3cEPRgfXetEwudgVcGT8g/2VOVzh0ZqnNVkkUNjBOHUXlhxY6PURkt3EXHs1jyFOvjH3WCMK
xxFYyJ5fS0KMOMWoe27VoZ9IN+vMZUv4HfImVkeuKqrr+TEZwjYAZ/1b5LzIdHEeIHGShF7xMnca
fCsTJS7psKvGrlXrkR0V6bjhoVYyJ6AgsuLsCTOq5fYD86tKtyEunxWukH01fElaf8+rdiPpXNN1
+NinW8d5jXORUCBLisKwxr3DwIIb3djtblbBLI8voyzY6rKsRHKBByMQoHAlys1S10kwTpmOcRpI
klLcWkkbXUTa966SNoPq12HkZmMfbDBypmApLokMFAnT/M+SwjhNfJoy3CIIlX0NiffZM5nn0GG4
GEb7Mo9waxFwLIti+WkjcVkToZxvEuX8KNmzJLvoqNUH87GAMv6uCugHP0xzxxunjRHNmgzxQI9A
+Y8307ie2X7kr9Kyj2O/x4FcGtmlkzQ9phUmevDtMHOTpjic945rVGG/z0aNRVAULXuAUzZERdLg
/jZqRnYwUtzrqTFOOITVRoRbjp6e3IfGywYSto2AsLS0LIn16CMNdntLf+Be+NBgkaCP09fRMP7W
ZaXL++y+6UiMM0csx6e1tHett3UQv0ow5ha4uMFLt0gKF+ydhsabFcstm9F3SNjdVay4H3HPep6x
a2LEAB5l5nxa8KwXVw6Z8ssSB9Rk9B4TFdSuNXaXXo6HADzL/H4ebI0o3K7B8NFa1c9qGbuw0rjC
Fpfbe9iyJ428LBvyGsO+DRmu4EgcjGFd0WjzvHs75HRMYsQ+XP6V7Wea8Aij6bwp+b4pkvHteaJW
OKiR/M61Ap4VxLNVp5Lq/RAec6rw9FtuvUKHyd8RjhoMoeOi1p6/Yd5raAaHYmxuiOPVuYVeTHbd
EO0l2uVFyt7h+ji/6vFm1Z0Mm2FX9Oj8bQCu8FJjg1LNb8WiXFvmrKTOBw/FlnbtFsMnJxGWfRPW
UZU7hvb03XleLjeZZ+Mz6EWg8sHCq1JLZiJtNngnpTau4b53b8uOKactlbwJw0EhUcl17HhU6Usr
CpP3RdEE1Y61RfUO563xB7+J1f3QpqbaWI157s7nN45RlWmGMRu+26mMS9ZHUyZCrDkodt/nqnX4
RLlTTP3rOXKVQ/2xSsK3cIlbfuB5onGCzOeS4sjNYmmkY73AuHZuMZDK20lr2mO35oJ58Q2p+d5q
t9abnqvYDGnbc+mLTYBl58kPi7DsImSiE40u57GOYqFbpfVVHFhfzst7Dcp+2hGk+Bd2OU6p0xTN
0JzPUBMJnVS0xsHpeOv4QZo6bVZ8Og+30n2d3zvCa3xk7hrglc9TvIQ0qWJxNjdTuAM/vx+8B2wm
Rhx7FZzexiXeXwneJMzaAH6evQEXr4YiHmMejoWuU9x0ylRVtimS+zy2LiJ05EOvrQ/nqVsFweIG
5kk4ElPLtldYh4mMBoAEVvabTOlD5Xe//ScQOJ44paPMhjDEFRoWb3zvc9Gnn2hltkb3axqPg/E/
yMDTqqcYXauSkYfAeHogCgFPGdxnmWkXmmJvex+6/M15op57uKd76vk1bDyZTZfPwHAxxj6rAZi3
qUMKGtxR9LcKPpU/HJYMXAiaJXiVGxdMy+ET9prxhIkeMKhP8PRVGV16Yez00VaNPivTae4JGKwN
zk+5woMunVWsuc9lgtZVNcbYw5qHCn7xmQRfJWJTqjQC71aOvaJ6WGwTCH4UI1qkaKcya0Sd6xyN
frx2yXvHYFWGjj94t4PQALLmtskcGRBqFnqRT4SkJMJJjdXU72pmXufa2nr29HmtMGMYe34cHRsA
S/8QhU1cTOhHuH2GN091UTCsqsrcKYtpP9LwkWXTVi9zxQUi0QTXUHTBMy0Hdk1bRnaeo7mVmreq
8W5QSOZl9b4Zrs5r+ZpWoNCHS8edEGa9CxGVifD7QGOvq1AB3rGyr3Eb4cD39cp3SqkdPAl3HUQX
50HX+HkMOtv6cfQqeNuncT7HzW7fqHSvxmg3b6+NuT3PGP4G2nw+D8eOJchlqmKavCwsXDxgBJWk
t1EV5o5su2EXxoHAVW7XOHheNNsozNdiCgqtuZpF6Tz3ik9pbEUxpFzi0AQj7QibgFm5i7vp17m8
a03xqz+FtaMzspMxPVCWbM2J1kyPKTy/hFYgHLJYwI8TRcFXYj4QaetzWtNmT/1EXJ7n7JqSYh9m
fqIALxMhgJ3SSHk+Bp6en20uq7RxCW+jB6TEPqJmVbmsRgzfCGZr6or+AEal6L0r/D9+nCLypgzs
pPq/rH3Zct24suwX8QRngi/ngVzUbMmSJdvqF4YHGQAJkuCI4etvLu/e3TLauiuacR7tdkNQsQoo
VGVlglQZ0Vi0/CVqkwOX8cHiQsCLqRBZeIvpxOrf/554YQKWcGyKwZN+/anrkZPPMgZSUYJMru+D
ZzV6l3id8bJT8Ymk8nfBgRFBwGeP7CT/IEUQPJE2TDFxGU5h2R1Tj56X8xwUbP6IDP9EKP7OT17/
tON/fxWKG9V1ZjFEg4dD/nEbo5u8yU51ik79DMd8fV/H3hbjZ7SJuVZ980dOthPh9nujAZ+KUDtW
qpz3zwR2hTQ58gBNir7QaL5d6dic8SC6CBrvihB16v3z298JgPEUjzzg8H9Swb6yWzCAyFkfScTT
jgbVKqbDAGK1Ex/nN50BQECR/8YAMx/L0M6vZfmyNHyLYbluIt2F0rI7I34dobCfUPZRBDLvDp2Y
xXvVbuyznRS4Jadueho7kn0ljGdPHqZ7tgMa5okoxq5l60Hm49qUCZn0w+wZZotmZfQqmZf+Ju+n
JixSs7QncpzfmAtQJlRGgaEDpMjFahBMM/acoE++DEixCRhFe9GlJ96kvztzkQ8gxyU/i2uRYy5h
UPpMAokSb27OE0wtFJmihxlM0X3SXK3DuxpgAJB/FTI4cS795oWKmtexeY3fMMfddnTQV/6Arl0K
TiGUs4VaB1mEFo3zjDVGHkBEvJ5PPhoiBbVj4B28fAqAVI67eCq01lFTTHHeXlhkUA+gtVQ//v+H
F+iw8LOdzA9sFxgSR40MGYULX6Q5scD/oHzrxUS3SJhjKQoAntIvdE7npeCkCb1iXVaaFXzq0gcU
Qs1nS/h0jQx4iA8gK18+yCyx01W6Za0qlfYb/2BSSEWh2NZT8BeH27JutpDGZq0u9Bx590ksOBrg
mwb/SRMH7JIyXz9Yw7sHw/ssL0Be0R4ozdfLPLBefjB+YyuWeOhwZLQVH7o5pvcoT+k7HfqmmuJe
X+Zt71VqmfTFnIGEsxyjZUM5dZjB6Lauz7rhtqpT2X1Eo5ZeKHAsfMi6tL8HSi79nCuuETBkIne4
ReLHMGL5ARzNFONARvaHyJ+D68DY/D3areqrBxZMv/RHu33xkjq4mSLPvyNeNj9xnYf3xmzrg40D
3v0x8m2463stD2Hb1exMWrtqDGipUR76oVN3vUdGAiIf3g6l2AYUKZnHR1O0NsovAjXED11bb2VO
GTloHCyqsglwTdctuKPo+9a0kzpEg0/MgRiehmBt7jJ1jVp/GpcBBo76qzVsRFeKup5/NNhn9DGV
askLf9K01BhPa8ut8R9ovQ0FgBBqvJZJwP1DyNhyPkyp4Q8hMetWToLJCS/hqX0GHlV92XD0HETW
DGFh1zS802Nr8NDj4zcy0xEPc8b9Im396SmqwzYu06kxVc0oPwRcJQ/EGztVNIaAd2+LRTNVGZcJ
+pFh0v9YIk96Benm9aK3K+kKCVrXx6EWCXiIpvUsG8BS3Sx+/xSE0n4MOhD0RpiPiQodUoBFVmP/
2EIyvq9Tv6/GIWG3frD5N1sWr2g+MzPPIIdKgqoe4F4JVc1TbK3ND7G/Zk1hQpy61TJ303OgMGo8
NaS/aFQozvw569GPUh4NL5Zhw+yqCsPLngpUIRIvaH9QFPLKZgLZTznpgQRAZ1JJPvXd2j3IdYVh
NfZAHtGA3UgFKkQj4KozqA7ndmDfeEjHizUk21wY7anubGwj8NVpGt9EAQ3xzAz7uBQLE9doE3BM
BiVyuzHA/d8FFoMXY7rGZSgY+ZKmDUCg2ZLN8pajLNeer4MSU0mTegsKD+PFXZVMkfkKuQb+Eih/
gPHQd7uVNV8L28X0tqkZUIG6yZv2MJoNkYbc5KGvo7a7tCrobleVqKn06iW4IonQdwHZAvC/jKAx
t1IEB07y6WmOifcFUCI4oe1AlnvggDKKQvAReKjU84pWWeaDd1yG34mqh+ME0EtMxlFeRVHvP2Iu
eUZ2LowFxSxpXtYOeNCLeMgx2ZbYOePVUOv4IjE+quo9y1UhxBakhynTa/KuF024tMWEUt1TrJKp
HCLDxR3vE6NkoTGicwFDzxeqm+f8GRGUf2u8KFkOjLUzGPzRZz0bc1KPTRFQM3/v80ZdNiiQr5fg
3fcLIuendOOR/OABEuBX9aRmU6gNOys9GSbicbJ6NOdDPccJKq4kez46y+MwbG1fYDVflRkBinYM
+0GU89wFmB7JcS0UzaCC5nqWcnyfbHr60QsP2MnJhCY/11Z674EEMwZsvG1by4MFrcN4FacYAbyM
Ta/mh7lhaijHUFNboUq6PjZjk0IMpjUSVdE6WdMzvwn4cMYXVoOHvTf9lWhGw28A8ErjQw0+cHPI
kx46Eetqx8+cxxEYImrevKegU6rvkBVM0VVI8aD/QOaBjue8I+mTIHPHDpOk5rbB5Pwn36y1qUDx
L7eD8lpwIk/zmsrKiLVLMFTCcZDFtpPXNQjHPlO4e3rGklGPhY2T2CvDWSwXa6wAQgT3rc4v2DQR
RGZCzZUFo1N7Kfptig5rM09fdBviccWzte/LMWhTWYp0TTTakqDFOiCpld7zio7vdgM1xKF5B1J4
3RxWuuqxDOsatCINcpGsWNPAAtgvknq69kUQwcKTyEzlk7mmJY00fWpphl6Z2LblCuP7Gri7qaHv
8wVsK6VcbP5CMrmAFUuHZc5ajCJAdqC5nId8/RBygLRKOhnSX2dr22UlY3TEIZaHer7QkBK64n4X
ioJTb4sOiRH6Xm2+jK6CuF1xYSAB/L7GfMGzOOg+sbytbcF5EJzlFPZFk0lfN0E200Pbj/V3JIyp
rno2L+/sEnjfFfh3jq8xur3TndfTys5a3CeR4s/45+IQ12oBywLGGy69xuNXdkrxGVLW3vm69nSx
Ra3/wpq1LQg8puDWduWa8/YSw/DsZvNWjx2WJRrP02Spz3vCA0yCKbBjRy3/bJlu3+e99UtZ1w0M
yGcNHifOyqhevHOfhR4tAhub8Txeu+h5mTpxlvdE4GHM5/ou2UR3GMiWl76JP82cT1UXB+d0rOGy
Hq/8ekCHuElsCVmH+l0dAvg2zXYpZUuyH3SN7DueKFFksTf/2KY+KIepiZDebnF7yUU2fBMYIXgR
c5rdE3D4PHcqSItcrSD2BCL8PEpt95jL0RbUAA6xLSoCvjOO3yfjktyjZJBXGkoxl7PWzdlC9VzN
XhbfpIk3XA9dmlxGirSk8MGTXflW9E/T8Q1Etn4u4za3P9BR9MrM8PAz7qL2JqvRPBmW1DskHDea
ZlJf5RN9noZkOHSzzys+KPZA204WdbepW3okPJjqzDwH3qhKvCj5Xdir/qpdor7y++3MsPGyT/pv
S9RgdBezQodgoPMXVE29h6lPb1A5iwvj6698a+pyO1a/65zGhxyBc+hHslQ4ithhbusuLAgzEuNS
/efBp7LsNM0vMO7Mvza43M63hJmPLLD6chQrua8XkZyTaVkuGdUBWkIz7hqMJjYH6Rly7UcS9DrC
bw+58mrMSBNVjEBUnou0VvdxHtqrbc6gXmTqXFxRef5tgVpHkWHuucz9iV8uR3Z3HfvqkJ0vOagf
ylS1kEbgjF4HzSTLniBHGLs+wiVJ2WeUN/OS9Vt3bvKMVhgEiEFyOMY3G5vHIl2QXDUtHDxq6umg
0D8qSGY/Ea2Hysh0q3yGWxNjYv3LqPz0wLL0W5cs+YG3Kjm0nY3OwnULL4I27q6T5Mjs0YvwItqa
5EC3SJwhl2ZlX4fmIatlW8KC46WhIrxN5JScJbUX36JpM7/fwvAbGUAvD7zmfFdvZEZvVyW3OQ5L
vDQzpD+zH1S0U2fKNEUOqg2jph8aZ8jBaowpaK0+1N6EUheJi2zzRTGYLD3HBHcAEOCo0ARg4saM
U3+YFkqvED2tLACaZNerkh4GWIk6xwvOA5awAYyrJXS46sRSnzW2TRD88WJKvgTNeUxzcS36UN9J
WcP7PDgF4+gmF6yP/ItU95iuWz2BWjZfGfuxRlMKUCbARSzKzVdwlU2HeSQyLVqBYaQmnvOH3LfB
Hc9XcofXQnoFKYb+vNN+ciXb3If/KPttldH8KTfbWK7pSG6khudj2rM+W3XeXETAM+Ju1O3ZaCAC
ABQOJvCzxFSoQkNvBdoA6LBEElQoyCGM5POZmYbgYug7UlrgGc9FmFJknao/F6IXVSB5h/r/il8c
jGIHxs3Pt92Kc0smUSnnZUaBwQTvM+BvvnGIS4BGlpHzrI6ip4SO6jYPV/RIp0VXuGyBxvRogh6w
v8hiqlX/LZdxWszT8eHVzu1hEiqoAEviF2Iz/dlSr/2FIra+3CI23PIt6S66hsy8GJHIFdsGUOAk
PHOGl5m+MA1Pn8IEGerky6UkgMEjy45A+RJ2cnpIoPFbdiHl1wbx/V3YZj6zBqxIwFe82G0yN17u
CVqAeqS/QJ+5r5KuDs40OhZlNG68ZM2kqq0h4YGLWBd9d9SW4mt3K3FmPm9+tx3ohJdKofoonIow
mskzzYL5Et0tWvQMJ+eId+NXcKm01yHyU13wwOibZPPmmxFtqvOItqSMBlxJKVvGu9Gz+n4OWHNm
F22KRecwE6iuSna8phKKF0WSHXudbFNnSwTYFSSGUCjj+TJMyNj5+tXnzXiDv2uuooXUTyAF/gMn
WnSRB1t7kUCgjRw2+NFLNGXd1QxQVzkOwMbGbbRc0A2YEjVk6/e8Cdp3bGPR2coJvcGtlxQpith3
Y5rTd4qN2Ve8r+WhS5lpLpul7v8zGvWnkuL7/zzW/6MH+G2QZuKU/amx/Ncf//dxwMun+6kB/Pdf
HiWa//7T+ctwFDuc3X90/Dl//Sv8mD9/7lEj8Zc/IJ2AGvP9+vJfnec3RBn/IwL9xn/8RbHxF2nK
/ypfHhUN0dh9Vcb4h1rj3+KWLz/39Nf/8qdYY/Y/wFWA2gvVPh9wmGOl50+xRugOY3TOB18ZLgz0
NVBB/lOsMcr+ByVc4NShnwhKU9AX/x+JNf5a7PIw/QgWObTynBpQ0Fhkf+jpVgOaSKXIgVlT9pQ2
3luLH2vxrwpMaSpW3dZYPPC6j+hmP4XxdKLc+NbSTn12GaK4BRoT5EZJvxa6qXH6Nzbdufrxp77a
eFujDDCsqD6RFHdFnF9HHBomr5zjz/B4TWH81s7dLodB55Zt4NpdN++PTicl9fNTYyNvre00tZlq
kPesQLINYfxB6PYLgMAnqoZvLe3UKWnsjbHVXVpB2NAvW1UnB5WIf8dK9LcbItBeGzwC37iKQ3hK
LReQU4NJtzNIWnZZ3O1LRjLJzDbUGFmcOlqqNfkxRuspCYU37BI7fcE8V2ptBUwOagsPVQRPH9aT
EnFvLe5EZxZOKzJaNKPzdfDut8Unl3G3LmafK7pEvDPFMAhBJQK35vpcb+p4QTzts7kTn4Oy09xJ
LJ11SPqSZbzp4vFEH/gtqxz//lV0iglpjg3no6ABlQUIv5NimpaXfRt3wrNuVl1DWBPfM+i/N2K8
ATnAicbPW/t2ohNeAlzW8cyiZoSeFzmouT4BZT2a9e+y+V/x4/aSbCzTOcS7smqixSsWCPPdUdCf
XOP4PTHx/NbmnQhlEfOawPCkQgfwMvO9a6q+77K4Ozpu4ym30L/E6JlKrybQt0lQ4+9b2glOjKiM
CRV4weadry47UrfXaxCeGLh4wyJufwj9f5QjUNirtggvaIs0dzzF1PvW0s7FaZVK/OEY9/HWYmAj
vGp9daIP/tbSTmAGNeq8oUcwRuWl5IpmqDOg9dU87TP48ae+Ck2QtKAQ1GD1sDafUM++hVBgtW9p
JzDDtFtN7XNTeX743aqcHovaz/vWdiKTtQZk/is10NzReJlsMj+gKXUKz/6WyZ2rs8eDcaTbrCuR
pO9rvNgsHx/3bdyJSq9f7IhxaBQVZfikkvg7B3L9sGttF3wl8KCgKwePMR8TqPslt1u7/asW61/H
VejEZWfBHCy4MlAwFKjfLM2tUPn3fdt27kwTdfk2+ArQNLxYCrJt50m0ftm3thOXgDGzMeVa4zyB
1uSY5T+8zu60iROY86QGOSwbWoa+epHe/JFGf+zb9dEvXwVlF+vAojWAlY99kWG99SmqmPvWdqIy
aKJY5u2kMZW5dNc9T9fHNRxODXkdd/iba+0n1uDVztPJeGErpa5URL6JJP7QifzEjfnW0k5QokI5
mlatpgpT4xU+C676mv076aW//dsJy80GPAq2QVf1qs6DOXyYe33YZfDjW/H1xwRLBfHWXBqwnYb3
EWEo8bF93h04USnqxI4THXGhZaspeMJvGFAWO/fthGVDpzpF5dBUkref+1RcB90pCpg3PqWLa6Ek
x3jc0UvQZheHHM3VkoC/YZ+H/xwpf+WDNaTI5hqeWBG6hcXKBMAnzb9DI//lKD/FLV8tHvVhR1Bg
hMlX75L36DA1O3MIF2RKvXaLvQAO3sb+BpIYjR6GaPelsj8nj17tu4GgEsboUSEUcvnsQxKrWP1T
/H1vfU4nMgWUA6c4w5GC7hct+wwUDrzdean9hOO82vg4YF51lLjUUiMfFpTZV8zu7YpMdzqvCaat
ZrBzFSGZfcBQ5fapEdO+48p3YnOMohYM952pWN0/Jjp9sOwUVeAb9vadyNTNkM0Z7Y73PKS1zUZe
4uQEnPWtpZ37EtiXdJnBFlRlKrrqcqB0RfS4z9rOdcmAtPTXsNXVDCGmAiCzR9banWsff51XTkLb
BOBbDosMBMgcsQSlEEO3r5DiDgUgEwT4PAceZZ2yH41eMIi0bP3OxZ1EVi2AOtGIwwfDDWVx2n8Z
e3O/z+JOXLJwZGr0YXEWLO+iNqiSme/Lv33nvswxdgxcSAMXtN6LVvm32D815PlbF0R11bkvgYaa
MxbPBqDiIyQGusXF6PGHHSbB4k5UboGRS4LXA/Cu5qHNUUHJ2vYEtvatjTthOYkulDzA1QAIH8SR
klRdhh26Tvt27kRm5i8ADtVw8YX5eUXVKg7G6/me6wF2cYIza4FTkc1oK2W1/yyCJf9S10pd7tu7
E54AigQdmRNd2SF58tPmIVv2hA/27WSzSxSsEPwE3U7sLWdc8agAfG5XtQ2LO7E5T1CrnCyMEsr4
vjf80E39ibfD8av9I0/G0k5oemGzgXFjBAIEZJly8yvorH1VXQc42yk20Lfc0QnRmIt2NutgKz2y
syChZxjo3OeLLtYzTWqI2HvYPQ1lD3nu9UmhorLLV4gToRSYu0zawVTZiv593GLoZUu8l32LOyEK
/KBJ22Gy1RAtH9Fp/GOU5/tWdsITTCosRE8V57gS38WSveAt+++0+P7MOTEi5AQnA0v7BMoKjYb7
8DyE9Xuffd23aycwjW20n1vgqdZmeT83/Sdm6U4fcSJTAEEx9hbn1UznrdT5nBzMtKsmBos4kRnZ
SJgGitWV5eYD7eUHfyHVPpM4kZmxkWwZACRVL7uLuE8/zPEpQoE3IpK4EQnRFIITJcRcvYcMq05V
Fe7dd+Zcm9vieXWyISbHMbzya/8xN7tScDBXOiHJgPLKJ4BLq8Run5A0X6VLvM9LXCaHQQAKAlJa
fMgu+9DQ9Isdsp2nVOaEZMpRZ8s4oGqTp1dwikIkhrP4aZebZE5MUtvEYEfHjF4i9bUm/r3N1z2F
e5jbDUo+Se7H8MAuko/eOLcVXaGpt2/fTlg2wFXGUoemMgN/h2nzC48u+3IrVzsEQHI+AGZoMC4e
fuax/kDizi/2bduJSs7yuA0ThA74dboyRf0xI+unfWs7YbkBFJXGxuDxwM03Ie0z8cQpAYg3Qt7l
YgE3OfCILerUoCC/G2iH6UM8fHbtO3XCUoBjqQ9Be4ybUpz19XYhI3YirTreh79JT1LnnkxJ21sJ
waPKb0QE4F5d9lNwkdGhyBD6R2qWfWHkqimEkxHePKDSmUXiWYXrASiw7/vM40RovYQthJThjj4e
3qmOn2xKPu9b2onQzJ+1yWKYBwibBxCkld6Q71zaiU+arhvJCaqF1F/vaJofILywc2nn0mxijkkF
jl1LLlU5JA3qS8OeijVYlZz4nDAZMIP5x1a8kfrQCKNBqeSZE9nyW1HkRKiY6UZENuFE9Mzy3Ghg
+LsauLpdX9MlSNAGg2MZxYOzT4NvdGloEW/pl31rOzEKxjoll2OmLLvuftUd9CWnfN+55SKBNMS2
AQ1GOxN1TlaIFqPNfnKKNPgNkyfO5TkvXuMPOBCrbINmo9wAUo/23W+JE5iRCOuU9bCJEvWN2VKg
FOf2cZ+9nchUIrUKEyFIaMWHnoxfuiXfU/EAF4ATmLjv5xrsBrZaVE/Ou7Vvrut0sSdscvzdf3Pg
Jk5shhCyB14Z5l44JMMPlGEARiR2eZhZzthhl3Hcvn2jMjNvCX6FhGAwy5BPgTzF3/KGu0SOnzMZ
ASI6M1jHBF+8ybttTLivrOJS6hk59NlC0Iytx6AvNn/4thq+70h0ScQXP+3EqFAVD/3lvAnIWRid
Kuy98UVdDFPPEj+wA25+MjfDZZJAMRCMXVnq1fsORRfHtGKcTnCDMTg2tB8w5vBkDfm+y1Fi5/oH
R76GlmqPllW/JpdxtNHS41Sf71vdOVpWv46pFKiMCza/5Bxwe2H7Xa37o/zEr5XgWAmIr+R4XvlM
jkVt+yfqNyeC9A0nj49//6rKPDckMsIcPZHn9xh/O681JgT2GcU5XrRH+wGMuUgUPcgNAZj+TaVQ
mdy3uHu6NKB+IAk23jHDSopJkm7eB2GExZ2rf1nXAcNsx4FYqAdCgnM5H4/D0Pt27tz8zMuXjbXw
lX5RWzl3oEXdIm+fI7p4INAdYOoyRfQr31zQvgOLxinKgDdcJXJ8XPkYfesyfM7QlyXk8662tvm4
yyQub1UqNsh0bki1rLcwjCVg3sWGbE/XCnRRjosvbaR0hJZ1NdXtXbbMt1Oy87xyuQ2pYInoe1h7
TJuvARIVEFPc7zOJ499A0hGej9i1ZPW5xscUxNtXunan/YO2N8OQKWiDG6ChzXoNhMO+A9zVGUvT
TWdNH8C3Ic1dz+3t2uRnuwziIoEwH8pXYnpbZR5kJFAJud4ysW/bLhTImwaAIjnGXfS4YUKr/jCz
4cO+bTv3Tg0KGfCdIIuoAZy9yGrLLsmq9h2CoROSg/GyRUJ1tOoS71yCCXX0TlG4vBHtrgb4KAed
TwxHoIq1vN0UDy/FqN/vM4oTksxGTRAD5FqtxmPF3BlW9P2wL95D59rBA8IbWUaQ5o/BO3/qr+th
qvbt2wlKzdDtHTETDjpFiAYAP/8j63e+TlwKZNJEabOM8EGJubWFz9cgwDtx44THq+U3qfjPv391
y0c+YekiUTZMIBFki3wVy1D0Ac+v/BijyaAX8N9lVpN7LzBlaoR6F5DVgh88VNfjSjHqlwjwXp9t
OorXc8gWyHcqVPMdCNM8PHWgnnCJ4ji7N8r3hj3I1gC0rb9mJsOyzDoIjrbOok9xWF8nsr/Y9Rld
rE5Yb+kEpNtWNYH4GEKmqW6XXZMV2LaTrBkmeymibqts/lWO6f1id74DXZiOAhOMWbwBY+EdpLSN
OoRQVt1nECdkhJ4wPxBoWWV9eyPHCBXgdN/V7oJ0vI33aa1R+VUe+MrCkWPGM1P7DleX5J1lC/xt
trKqs3ks45qIAkMzuwZw8CmdRI0zBQLUBVYZIZB0Zmt68EkbnkjUjkf0b0LSBeqEovYDKJDJSgPB
/ZAP2yeCCdE2zM46MeX7Go8uYAd8ueMA6KKsrFq4D5rgJb9FARGqQvv8xmnQ5JkCvx9DPzZV9Y1I
tiuaByeWPsbLb+zj4gCB8pAgM8ZxSLy5+Th5SFlAC0MCAcoJWG3X/l3UUW1y3s/hKDHEsZgDpFgw
xp6YXWhDzO25t3PezHGbTLKa65aDYQ10MYI/7tv50WyvTnRjwdcUtti5v3rnrR+e9c34x76lncvZ
birgepzhNDmmoNf5yhvlvrqHCzvCEC8PRkBUqkbMoNXKpjxmUDok3/bt3Lme6wkMAtg4mDp7iGwr
VLLLzgujs32rO4/CkdN06VJguiOjPoWNLtgU7GyHu9gj29pezKisVtYH1yebSGH9eNf3BBOx4ypU
JqQnIBuU7dpUEEyZS2jM7VzcKZLFfjua5cgryJKUFwu376Zk2PVO+QdnIc1ivWVHqjg12W/z1l9m
nOy6OKDq8qtNxhgD7y2BbiH1vLkQalYFaGl2DRIGGH//dfWsi8TEZ6zOwxb8780Vj9SJa+P3aTlo
VX9deuC1zZrVYGI7JZ9Y+lOrbZd/g57716WDOQOXbo15UwbBo4LR/KXOkGnsCR7i4o4aTLMFZMK+
/ZVegnTp3Rbti0sQ/P+676kO5jZqMbYZTaFXjSC+YllHDvv27eQAsQCxXLfJtJqtJRc+Dz+o2Ih9
RnExR60NNWAZ0JYAh9HHdQs+nRYzfsNPXMjRNoaNVBIgMqv445iCSiff1+sAi9yv9uY83fzop6hJ
3/GDAfkRKBL3FceIKxwZWzCzgg0iqTBDbMtobp/CIZ32fUwXdJRY2tK0zuCE1L8l0NWynr/zUzpx
qXA5JMloIcGCMtblMkE+OplZuO+UdXmU8TF98IBi47rePqJG/klO6dMuB3dhR2xLDLRdj0KMKtvA
FDOVfMp23ccg+v/VUwgRUpsYIjt8kNe+Ga8FdA/2bduJSwXO0GZuoLOxZgGttqm9X8RJqaU3gsfF
HdFWi3UbYJPWetc8A9ecjP1dz1ryD+CRnwCKvh4FQohtDz5q12bwds2BgzvZCc2M0y62XEMbSq9l
mvW3STe832VwF3m0rAkIW0GkUnlquKmtV7XZPgAzcXFHzGvr1ALDXI2IzvPjgUIDsw/7Rlzk0UKF
mFkMk4CJ72O9+ufh1O0q0f6DqToF+7WJI5VUGM/pi8Ur9SaHEyWbt1zQSWWz1Q9btcEmxACo2zX+
x411cleLkLiyiLWaCRMZvuUEtWEohgm/mOSy08GdyASTTA8mOwzdeyN515n8Ue1jIggg+vfreeJj
AG/oOqgWdesA1Qf+nkOicZd7u8Ajj2e+B5T1kSpAZn1xJK7GuOnArvYt7wQmpWxdmqOLm3g5S0Bz
V3k02DWgCLM4yaz2wGM3GOwdopHh0kPO0gOJ576NJ7+aPACAni8CBQNTx6AORHl56/J9GHooEv66
eEIWX+VHV1k9ZR85T9JzkL79Oy3K/0KMiatDgTsNDFgeGBqCQN9GsXhn9zVQSOoEZ6CBx0AQgRd4
Wq+sURf1IndV4iAt8KtJ5tEf5qhZIXQmwndbSCvg0g77PqUTmD66bJwcaz9ghBwuwDLFzyY97nuX
uICjQYdLOFsItImQXtdr89gasc8krth2R3seZAtHfp94d1HbmqJp6VzuMooLOAqOg491jxQl45af
56CZNdDs22dxF3C0QVrYC0FUBxSWhqDnoPlXw718X3blYo7YMOEYj0H6IiUD82I0d+/Re6t3flAn
NuUQaEZ9WB00bclZjXLl3doOydd9ZnfemvW6xWoFIgCUAaADngm49GIz76sbuMCj2kBHbl6xeDvU
33QGvthO2Z3+4sSnDNGn4hRPtnBQulB+22OsMNlOuPrxVP1n0ZO42B0dexnaKDgQuzhi7yxvKIZ9
uyjaCp1ucl8m56J4RhmP+B0wcdrW7JaNU7H4867WG+hvfz290qbtcFkcT4EpCcoOgkmlSo3dl/O7
EJ4wHFC7lnBJwZAetvUoylXbeF8G4PIQyR6LL0GKpH9KrkAH+6j77HmXt7sAnrajmZkSmCXa0viW
pZ38uLSKfdi3uhOpDcascnFUqITOyPPW23PZz7vqtRCI+PV7NmDplksPmrBlWkG/zsFHn0AxYl9u
ETvXaKZlRuHnaYXhWV3WS7sWKrU7be4E6jSIbdGYCa/Wek0OEiTPRUws23c6xs5d6k19CIU8lFdY
k9wgj7lIk32ILOIiGoXiIHkW2HhyrKoEYNlGZz/Y1/EgLqhRaTrNuURNFZpQBY9tCNVN+u/kq/7K
uFzwUSxs3UKqHkxHNKaHOgy+iGFfHxEKio4r6pRZaFbjsWW26wDcbDXYuHcFkIs+Yl6y/ukqeXem
t+j/cXZuPXbiwBb+RUg2Bmy/Ant37753J+kk82JNMokBg7kYc/v1Z+3zdMKZTCQ00owUZWja+FKu
WrW+n2Sa3o49erc260XqQIV4a5Oo5syL8rsV1Z/wHdeH/MtpsVcf9Zp1U1wzzJRxu8gSUkwatT//
+8V/cxLtOYlxsDYNJM3wUFqK4r3brHrA6VTCan865E9CAQr79YsuIa77wmJsXITm+dDwEbbN4/CH
o/R3g7NboQKIDJD1CEbeqycD27clEcfii70SqehNyIINjxaEo+9NfKua6ZAcE9zIX8eEcsjgSo4x
iR15nJDo+1/b4//+pL8ZkXB3BwXQw1jPUZUI3Gru5mUT59jYQ/4nFLbfv755ASeOAgai4LgE4n2x
SIRIwg8Z/ODhu1soMEug3KLkCcNqWHe3IVSkuMu4Y1Ml3C1SWSmgfq5biyzZ39rMIHCNYX/w4bsj
dI4K0ZYjHl6IMS9Hdi/Mn6Rlv1mje2OirvRaw34d9EjDGE9tFLrvC3gpbcrGkR7c1Pe6pBXMCxU6
/JRZV9XDYIMpi5b6kEEMvuxumQIwMPRViEm5sHWFWXQy5zqM/xDp/maA9jZFLUTfBBQ5FBCDyb6t
xXdeJTls66M/PP83K2qvUah5h7S8ur689h+SDpbZ9FhrBhj1vy6nKFIB0DPX3GIHS+i2Dy+VkO5Y
4LXXPw2aqnWkGlCpzj7KdrstmHg9tMns5U+QSzfdkuC9S1sxCDbGPkUe8Fhqca+A6ltIHVeLXK6C
YO3UWHJng+2YKAzA919HvKL9OM4tPqZv28eR2uekhnf6sVHZRbrADE5BGwFNZ2X5lET6lh8ymqPA
d/361lvtNjKS66YuojcfN4/CAul87K13azOkWrgoQpoYSAUO2Fn/eVn9weB/r39agmFAqz6GZJrX
D8VYXGTbHUxa7mVPcRR0/Rrgxd2ypWpoPgStOTa/94ohSiNYc8zYDbkNr9rY7RzARjA7NOB7wRCL
lNUTB7tUCJhOJSQ4+c5tx77mnikLMAfIZRYzZVDF69T4566gn4699+4Axc05AmEC61Is9dtKiDtV
aLbJ//vhv9nE95ohYxrIESBYQZI4/KzCIkUv3E0zbMfO5z2CGersYhoGGITCOX+F54Id3zo2m2Oh
4p5DCOTQ1KkRX3SslyiftIRgqwibY+mWvWooAGvAkOvQNKZ/ixm7JORYwYLvRUOBdXMPrhrCZ9Op
tCriFz1JcWgqAp7766YlNQJoIM7i09TXd5Wt37fimHgNhMlfHw1GQRQaUI9PvpEduDtzly18OrT4
+V41ZKMJfPUBsVw3B3k/tverZYc+Jd9LhpKgxW2OI1Rh7WZT5iqTVfH647+X0L/HKXwvGqorxYlk
eO9Qmkfdf7ER+3DsybtD0yRk2qrrHU6AtATMzAaZ43xMEc/3miEiWMAp8hSnjgaPAG8vUffx2Gvv
Tk3ssSThnOHJMvlWDfzHvPFvxx69OzQnWkczaEnAaktABJkBZHE6ZlFG+V4wVAvmmW6jayzO31CF
OrtyOGTbj2fvFqWfpqRoXYiNcLLklFgTphD3HhKw8L1mqJATmGUeo6LBhYzs+Gx9cmgD53vF0BgC
LRauADZvyZUfNA6vQPcdygyhn/DX3YQUxcAEw3iXYwWUYMfSFRDFQ6c9F7tTMxLeAOFxPXlMP7xW
htUfxTqqo4/fLc1gMnRU3RVk3TAgu8PHRh5LxPO9ZmiYtG8otA/YT9YWrEQgDe7FDNngsfNhrxty
MoAVXESiExhOT5ErclmIY/vs3q+IDtFmwE9ESc4HoIZtxfeCre+Hlv5eNrTFEvVUcG5BLCqeJpKQ
e0Hb5NhU3OuGpp4SQA/x4j7hT2MgPsB8/HTsvXdnZlyrkAwewuZpNBNJR937S8WX6k/tR785fvbS
oThZdZwoSL+4m97rsClQgW4OzpW9eGhLIJ1uCqhWFyVOPdNPaj5m28b30iEYvwY26lEbBqMqvEu8
Ihm4sesflv+/x7U4bX7dW8YgMSPomtAJhkWUyapjP3RYtmUqx6I4+GXDX39G4QcYOoEJgn76WaT9
lSQb8PYPv8DvPuvuECXFuuGuCRUEqfvosQ3gSYyGmWPtnpzvztFWrPAZ8RgepM/uV8O+SVDpjr35
XkfkaFKVpUMFtI8HkREjLkPVTvmh1bRXEhHUPxtZI7hdXZJPhaoALUymYzvj3sQoBk5DFOTa4WBo
2aUV4I4lQL3zsd1xryQC4nVq+rAH8sGXZ6KbD0D+HmpFAk3q16nYTTSY4aaDUqISJtUlwKBqPeav
ihvyrw83Ta0pNl0IcuQKgFu9udyJ8ugX3a3UZCHLNHOAMBKuMznIZ5IcK5hD2/zri9Me6WFjKNJl
CQhymJj/zOPBqbJbnk0/G6NnyEOaSgIUW1fmVOvgWAEU8fKvL77qpJcL1JanIpqLlJHyPhj9McML
vhcTWQA+V01JAiCrsk+R1f40JHo4tvr3eiIaOs/iheLp4TikpJye2n54O7T493KizS5VByflBCq5
dbnjG3Dl5VIOx2KAvZ4IsElWMeAQT8nwPazkl1ocYo9QvtcS9YtNdN9fVcmr+rtOCiBZl+KYGRWP
d6sTd8+m39oaOTO9QSjLy3V4CJJFfjo25rvlKbugMQPqQ2hvhJiFjDFI5Lw7tor2WqIuAd/NgvqN
EgK7gWHpyf+xA/Q35+feBEh1wtaomuES6mP1uDXjN8GUOXYr2iuJRgQXBgRlNKv5PjiR1v907bjd
HBrx/6cgmpy+Yu6RZPGyPFVJX0G9IY85u/C9iMj0ixmkwNNt43JTRaCFtwfbs4Eb/HXfCseiXfEP
Uk8bHdOKsq+smA6pZaCi/PXZbeuNBEobH3Qk96YP/xbaHBzx3elJgQSS8TWPSJV6uT46iefzsY+5
W51SS0vGHjs5MKG56KpHHXWHsp98Lx+qmQXyfRa4mqtpzBaEQrIm/bFtfK8eal3j+61Hn4011Yuy
/eP8p3vcdVD/v66C791/tHYy2aoNkXnJyAl4uvibdwGyOVsxy4/HRn1/fraKBAGuWFfE7UU5Btgv
8qCHnr1XEAVkbjrTFPiihRlfa7PRG8ihbP7fT7/mg/5ldPYKItv0MVMWl/NaLdWD7Qb1MR4mCCzR
aBHUqaxD/lBjUH8uXcIOJqf2yqKxUVPVTxpXa9c8bNccjILL2R/2ePmb32i3boeEgdFW4lhF8zD5
2AxxE54qKQb0hC7wZTv18xIHqR0212ZK8QiGhyxwxybCXnzUro10pQgY3II1z0Qk3wFJZ3/4VtFv
frPrn/+fLnFSoqV4Aqv81IXJ53YYTUapOmb9zPfyI+aHOpJasdPiZpNuPArzWoIB/9/T7HevHu5e
HdyYcl0xieOKPEfdFt4max8d25j20iO4My9Kgtp+6tfhMnXQeyp67ODdOyAti41sQKtrxQcJJkzX
+RV64foPt6jfLL699CiRsZBd5cRpQWODPZWCik/EtCj5TldCMdjSjvRnbmsg5xffiOHY0bbXJRHX
LmBFIoUjfRQDFhIF8kFR68ixifr/tEmoRwLkgVWQVFOX2o7OaUDNsf1wL03apBsJVzU/sa4JP06R
r57LaaiqYzN1L05iJdEmAB39xJMic1psqevowVLZXpsUdmM4a42Bqee5yteC3XW6OJhN2DslJUkg
a7Hi4VRW/ZkEzd/jth7TDfG9Ogl3rGCYguvGVgh1U9t3x1p7LBzaa5ImyEq6YsVxoKR7bU3TPFND
6CENHt9Lktx1cy81oOhoukXsmYi/rn04/72r/Sa02CuSlpautSES+r6i998AIqpIisC8Z/nY1euH
//4hv9k697IkZ7rCkACjY4LlHQH0mFJLj11w97ok4tBGtE7YlkkymKwpIUy2dXxwtu+FSQlpZLs4
bJ5JzHTawkHyPIRN9YfB/924XD/K/zkNF9aUyQiEFSKX+VuozANc0o/tX3urIDhKsUDAPuE0LTSD
+/JTq6Njl/69UIZT1JxbhjHZNoLkcKlDWBG5Yy1KfC+VGSPX8rZGbqve2JwK3MzpeojWS/leK9Nu
hDSkglYmGN1H+Bk+tzwo/xCz/eZb7qUyDWjxQ++ba3rYBOgFFadS+T8lLP5XUPYvMe5eK7OV41iV
UwT1QzOI5tZrMvM0kEUQ3TS1q18sUc2athI7aCaKkn8KoCCdchrDCSHtG1P43EMEd/3/QVA6z50K
/+RhQOn/bhb/8nZ7GZyWYiN6QskDPUhCPWiXuDEtRRUGqR+95mk5NMlbqb0pMpq0cXtrW7a03U04
jX7a0m7d4IYLYVS1UvzZgq6OKqLFpfR8/bmWlssU6mmTay39ZWrHcD0XcWDGvFttZ7IViHsPm3UP
u7h4Diw8dnzJU5V0zXu7VYk4yblcmrzaJmWy0Fv1LZ7WzualMfOnhXRGP0J+yH2qRF/02bpO/m1e
p43/DE2jChhgVWa4s20zP6/A+kVPVWFE8gAzrk0/bDGgDPcmsIUGxnYb7Duqj3y+X+eqbZt0pvGo
tlQMQ7cAhE4ABOTL2MA2EgAosZyB1t4M9LEthYCQ1Wq8BabVlDftjATYZ7eGq7xZV1GH2eAGpT+B
49i/NC0ufs+biOs6NSyx5Z0kUUWebDVQlskO2eyHoC2a+SUeeruwtIAtTowNjLYSSdEatNYmq03N
pgc/yKX8a6Yh7S56NYmnaCJLhvI1YKDsPBTh5uG6RD3h7auPvO5QtqWQaaehnyf6Onhi3QURvRZp
s7TCgfhTr9sZdFlAt/N4ULU7RYVu479GG8w9T4fKh/WaO8KdEHA8N24G8cA3Rn6fu17RnyAtDP1H
xqF8eujqeLbPQcQDeT/MgWyevdgmfAAxGeVTUJsnG2do11+360uijNdkHF0Nxcep8nH7rKtYVFEW
9UBudWkz0nZ8AEsgEe8mHFB48s5sqritCEYZPSKlPotiU22XJlB5vWkf0/l5bBokIbgtpiqbm9m6
f2Q7q8Gfxt7C258NvbuH0lmMDNF1LBKCdudl+mBVhboCTJpq+rFWBQvzrtUiH1xHqjzYGoqvHkcE
lD4btUVGtrnaUJ5pxqeeh/2TnsoIloi6kV9VJDp9lwg+4KbnlB42/EJBVePu10dtlojmOjjdTYtR
oDmj8+Dy0cTlZ7K1rbthsgnukJEcAqRpi4ac1qGLXmjf0MsoJtZntmmrMKVr4/m5ZdqIVEbASaei
r8HIhP2zatNpqpGbroF3+NqUdl5ToYWmaROgXmUcGW4EIBlnWMjxr2j9Rs22G7Y2s8VY1nmk5mFN
qWi6m6Gb2Zd5SNY4dXHXGQiVSzHnYB1rf9PFEfunHKcAJNQq+cAH2bagQlebymMe6fa27TtUaaZh
0ymZYvmRrbHLrUzm5exgd1I8LVoG5wBkB3uBvNB97Xuq70pfFH+HhuKtjIFdYVbPycwuo1Rl+9YF
QHhlBYWnTr7VTS9T2jVyeO1XYV7rFn3y6TAr+rIoI4rcVYSIPKlFBXJb015auXWvqgtwWVvjQE35
aN1b7frkduUgbOUL4/NwDhq7dudxoOt8QvQcmxRWG/7HoC0jj6QwbZFCgdJX97rxqKG1aBCbL7Yy
bTaooLa3bFPWnXDmru4RquCLFfPwg24ao9PoKnfBpDX2mZ5dTEvHd1tE+OuoWPRjVqFO9FqgG1+k
IVnjl2XqubkDfymGFkBXLj6zaBEfTE+Nv49ch1agou1mc/Z+K4OHtq68uwVvZrm3NXDJqejgypRN
moXzS8gqeByyfqvPzbAuC8jPZN0+dVYsNxw1kocyKiqbU4YG4zhCUuNBbklNsiVZW3RLtsY91Mmc
2J/DXFt+1rHnSyqNGMI0aG25vPayQC1Es63BvyN0LKMCaAQ90TlWJl8bO0ERtMhye2vjYmY5bITR
WUf8sL1FMbYMICZkZ756OcIqG0S8ieWlLeZHBXUvCtxiXOrTvIZszUQJK6jU+MT4m7KuwbZNYzbV
KUOn9z1lBTtPTTW8yxUsw3kdxHDbGyh674Z1XYeXubGdQs0JIt/ktWvXyj/iLFLxoxvl+mmVHS3P
wYbG65tKBPBcyEzPgEUDpCb5qXni0D8uCVNoByyNvKs9zPkuFu68xqSV7lmX+xEuWI/jVMoSWChK
qnvMqP6xEGWJtva50ai+AtVzWvuCzq/2Skl7ZnHVssybjv4VcTjPIZ3XaFjMX31TPomO90V9zzS8
T3LYYBJVwnVjpHkZCXIaW/2z6oLxHQn7LUczCiZ6IWWfBRxedrgeRPy1Rs3qc+La6bvc6qVPaeW5
zJRU8aUrWQcP/nl5jBzxb2UViSRrB1gCdqZi926aJptGc9vcI2OjsxFtdBntanKJnJX3S7uNJJ9F
ApKhwF+qvnau6P6K0L/7YtquWKo0Ul3S5lGLef8GgZiLbge2EZsu3JHiXNVGVlk111Oc96FPvlIl
E2TWg3HZMqzqKEjb0Pf0HYvKq3yRJugfdL0VsNCrtvZsnCqjG8isqi7F1HP3deTgiE42Wl0KBoBw
Fggf9Sms9/htW1TbmMGKYihuhZH8ERS53qdtGdTLTVxUZXTHyol2PhuWYR3ndCCrY8+dKXiUzRbA
olyaWr/WfZf0eedI+VGHg6tTomY2Zq6qx9R64MDSIUnM/BRUkvusdNJcWls3zf3C+VbfjNwE7i0M
6eYzyHFQ7mMaIYgWa8nOQnRBe1tWFUfmx0dNCp+ffxo6WXse4rhyuYw1vTNLW5U3Avya/tTOpMzr
RLiMRRPCKWfi9vMEuvGUjg5nQLrS+mstBnlfoiM8hRfuS2V6gGxLVoXY6dFCY/JiocKdQ0Qc6YLF
qFK2UhzSExHV01IXTVoSMxOwwKfb0eAOwWfKU9ZSluIntfkg1fPiyy9rB2wwW2J2u5STQBamS1Dz
ZiPOMR9VcPcMFujSX0fim/hO+SLW2bR0zj+O26CmLHEaQKWuL4LkzLoe7aUaLX6hTxHE6PlCieV9
Vo9NZdIl3BZz7kQy9k9sKrzPxrFh+rbdDDyFl1IW/G7kiEfSvu8m/3MN61im0VYD7TchCJ9zp2ZR
532vQ5KVFLED/NcXMnwWhQpc3lOhfN5qgDrxQov7iDxZV2YbzKcfENSjZ5/Favpn9gL+NG2kSJnN
BrPpPuG9fEJGdlM3QYzg6qZuXbx+lMNQx5jL4Uwyq8e1eemLiX3p4i7EGlmDFhGKVEGfCVjQNqiL
h22ZOweLtxsWwIXgzBRAAxewIGuZM0G0ftPofSJPjYw3niIc0LeNpUGIEWjC8Qm9UqrJi3lWMutq
ST97HiwGubcyMfY28KBsprZE3JrJuGzYUw2FQpGZ0qHvZlqceZ7CEWXQIoKJQ5pskOrdxrIw9X1f
CPoRufmJZ9g37Q0PqXiulpWMeZV0pXvb6DC/4b3JNyYUTBFbmB6UF7KBhZLCpFZM37dpFeEJNG/k
6ZZmnNe84qXj72guTobbBF/f8GzgVOpvvhlBRt1KVGlTvVj5MRbtUsHUuUjIKQAUt8zWYCT2rC3c
dXM/jH69h8eUH7JI27DPaw8nuwxBP3kotV0mRL+utvcNfK4+wylFkLTtPLwn+25cYCzKu+VvGdqF
FhCZzLO9dRM26FtXj7Y9ucGgOw7vOknw5au4gDgSR+/Jsz6on7GPm+VD69FjdL+tBe6q4bKa5rIs
sQzzgYPZlKuFbiKnYxhF2UaTProt51Bgv5nCApbd47iOt3RLcA2cK9CP3/HNWXwPkngz/OgsjtCb
OIm2/m8Tor0oYwnVy8saFyt9ZVPgixNsgpTIbUWacxJx+qUN6fhUMJz9eUh7H+O20Izof2BoKs7r
qFdbLm3r/W3nlorlIqpscJEF1HavCESZzwDaLIdPotm67tHA7Q0R12QXpD6KcTgTPPnJqg0BZtMU
rP5UhXHjHyobc/klqOOo/TKFDUme6TLO4nZFF+/HicWswzyru+d2GuLydgDfJ84RVlOT9fD7t6fF
SxtmaH4g8gdj0Ba2aUm3GbK/1QcPAU/UeBd1KHtkW93XHVZM125pX8USCl4OyR2/w6yXGH8Y+ATP
JVEqeAEXCuFApQKsIHzsqkhqtFPhO53ZStYZpROYn6U0GT1Bv0I0fIzGOsGkQ9/40n7tWl/N3yVM
KNX30Si6/SMnzFz3MwyxUMmV1VgPuKJKkajM1yHx6crbhZ1cf0XElaWc771xQ5XXC06v1Awal1td
juXfUZMkXxYAvK5Z+U6TBLh4jhWAKtGsz77BmbnmLMB/FSAAxs/LvYrmvl1fKAiXxZrJiZmpy7EX
FBYf1QtYolS4NLV5WDncXsZiDWHLhxqkPMHm15mclWZ1GTgIIUmhxNEddoUFLiETLtvvk0HTOZLQ
aE1seI6wkcDsPeEKYuBUTPUafaFhxTgijZYGWVTUpX6e6Mz0D2yzvc1nibl0LnzPxUXEUwfaQiyX
QX6VxRC6N18gQ/BmW97VmYsTq3HL0B4g4Zph8+PYR9UpplSXEgKvkW2P+KxJeb+Be/IhtElZ3dCJ
Tf1z4BgN8wk7THXXtv38AQBUEFs764votSvNhOgUuQLyw8csoidO0Fp4C1HTtGUDQu7pg1sdmdJ4
a5r6bnWzmm4KRxnKXFv4E8qemaRzq5e/CZoIPgivPdpBgs4NcDb1zOZ166Puns9z+cPaVbkudSG8
xRDCtwazkAJxaM5zTXiF31LA6991T00n2lssQv+lILUSKZu8uA2TTfysCMd1NSE1j7MVxRJ3Yqbk
9eOIr9JVqek9stTpOjZtnW7VzPAl/Ba/gH6Nprd1i5aU4PPmsxujKQ/jPnxJ5Bjae4ZyHUPsg+Mt
1bWNBwg4ax/Cetjh0AP5UrJz2MNT9SS7kJnvC9XWn+Ar6iLgDQsqsbYQYGddN6CuMgYEzSVLXMfP
oQTe7iUGMavNGNLQNttwSa7zchtdcb8tZeywv9UFSyGWRpN4ifvneGEwoH9cvddVCqrULB5ctA64
QwUtK10KqmzyOa6d+IctARm/Eurc8lxwdOKdkdSFqWzYxgq/wmJjkMCgTiuyBCD6Vzyijx8mEYgR
+xClHkMOFzn4CTd9ZW5JMjcApnvRJiyDdwV9pwSZp3SB1cQHQzmyMkC6KNw0l6QVF5w3aCeMIJa6
ILPeJgCbGSaRz4EFQ0aCfighFcA2B6OXacE1IOlIlPeqhY7NN7pX9wO1G0jklKswwxVPvM1FL3lK
5Cxs1glXfklginYZWzWEmQ4b8Ul5AbV038niY6/75LPx3MQZJab8G+1f2wcBTARecsaBjptPJNOp
YPIlmVT5Fye+pnkwG3vBD1lf2MqCEzZW82p0NYYIlpa5ybwS7ibWy0guTbVCQR3BT0FlnYkBLKkm
EbvzhjBAn2Gm3Wmccx70qVlhy7wLhrktPuir8PevznQIc0JUYqKfaMvVxYcG8nqUaChOKeRr4Mea
lQqJticjx/rBrTE5VT6AjU+J4ehPw1AZ8QZTXDJnPAix6yqcWtbnKJ/HKh88gvseEyygSKUF9ZDG
C7JI2bYUDUynkR1J43I5Gdk+hTFfP82h8be6FmS9H3Vrh+9uIQqHRTOO+i5YXYMuSCJKJqe0QkvN
y0IYqzNp+qZPI86C4IX1a/E4skKQTI8dv2xiCdTF2QX+361RuvzUaNDzXpQooxAxKp2WzJdavxIe
gsAknW+eYjcxAEhq1a6PCy7VF9bP/f2qwshnuDvBZShWOEhHXMnMi40i8Y02dV3mhiMySdu4lB8Y
6KJ3KIV3sLHy04AocyqXd+RoLCLoAI2uuNpU7XgfDDxBYXaY18+kneeLCoaNpbVU1VM3tc3PmnLe
W+QhKHYLtdZbc99MuPDdT4OQVeo36pdsNQvu+bGtA5hDxfhmN6KqJ1eksNEp1Qce607cB1VQ3tWd
qedsiMwS3IXK+w6jyccfgAgancZ+LHhKt2jtbyKYTH31YlmmDHGcei7DOXyIlHz1voB4FIZ3Ysmx
bW6PjpVd+FCjyP0DjfT8FUYQ8usqcLm4swWt1e1AaxLfkChZ/Q0wL8OYjv1cvsVoT3yNRlX06aD4
+hVti/xLaGd7Z0ZmT8RO57VAriW232eGJZFGzs1fUD+IUqhjEK2hWo+dsyVPGvfLZ4b8N9hZDhKB
04Tw6b2g23LpcXa+oofGBZcmWZAirRM1v0Yy3O4mx+MyXZWs73R3873b5nRcQTpbIjLn/GaUsJbI
kmsmuKCV/hDWuvhCBSZXKUoL7VIU+xuwI9GWN0C+2GVjY/ApKmCInlZdh0+J3ta/FZJ8n5pYuee1
kyO9lZa+S7Km6zz8jPX0catrisTyqPVdFW/wPBOQdN7HfVFc8GGCtHOArEBHMzdrPrphblIMf/xJ
Bdsy5QmC5yHzQV1CK4Qc20+2wWAOq4EhBw2So3yTuDQ/l9KL54BVjcOps2qXUkxbrFO31q8VmZfp
vHUsMqeiXJF3nUjUfwXFhYQ4uRlDdr4JXqkMxgtlZATaRc32exRv6w+xTh1BAnKNexwJjfhp4YT2
TxRPFf7XpJ9MprDvKuQ9kJpHJrIIP4QaCWq02M3+ax/aJkxny2BmUA/DqPJW8mpIQx2rBcHhujz4
ZSmrLEZ+/iNUMGyBE09gNS6lbv4LKcLOnqekFz+wsMLbJNmebMCaJ1lR88i2YTJp0jH/3CdSP2K7
5t9MAxj5H1QXvyk27a0B4Os8ui4uIYvnU3hB7+qaMSaP+eDwPSGlJkhthMZCMYIpHkwIt+ow+Hqs
FLwTgeuyK/upuhYPaXVbTdiOaDgfQ91wch2u/1NP7aeobB2gwadluc6fDuTwcvPBsV6Efd83Ze1a
KByjJ3htUnFbJmS7Cx0qocd0j/vGb6jVKyS8Iamc5+SNqIdQVl8ODfq+6XtdK6Raig2qq8ilm05e
giQ8NhP3Hd8oLqHhw2KuaK2+dXPzlQ7iT8K+f5/lyb7l21teK1bg2bFWn53YsoofQ/Al+4bv0pV1
XC2o1haB/StuUMfS019HBjvZN3wz7K8MzgAwNLMgOcRzwlAE/XHs2TthIBv7QuJWiKbsJvyxocAi
e7ocKmBDuPXr4kHpCA0x/bU9kwffAIkbc6rr6JAIDRZAvz4cN5ulYTEaNOF+U+UVLtDvKKH1hxQJ
iWS/Pp1FKxKI7joJPVUPFKmKjm1HH77T/RXYxefGtBBjeveUrFUWdu6QfUyyB0XAKxKJ9wTNU9G4
vCO1CIJ68fnYTNnJecWIWlmAbp6TGlb2UpoiSudN+0MbSrJv+0ZZNJFbUaDLPkApZ+6DC6+KYw5M
yb7vO54JkQnpYNzFkJtF7QLSBdyrD43Lvu970oviG+y7/oe8s22uFMey9V/pqO/UgIR4uTHVERc4
L7aP3+3Mcn4hbKcTJEAICZDg19/Fyequbs/MvXf660RUVERm2sc+HJC21n7W2kDv0i/zgJ4UBLp/
8bU/PZ2dQzI/lG7gJZoc23jatTL4l/ae6LPve47WoYwT/NrQcvdWim9p07/+a1fk06OpEZ8ZsS1Y
L6bTmlvaLEduzFr8a6/+6dFMFoAFVYl4RzGlBgPDdRFgKMX/Y8fcPBL/kTuJPtu+GXQcRPbCC9Pa
CbVjRUsMUtW+A3ZBFfrCkLVEo45dFLg/Rmj927v7X9VHf/fz1c1f/x1/fu8VNAPMZvr0x78+9R3+
+/fte/7+Nf/8HX89fPQ3r92H+fxF//Q9eN0/fm7xOr7+0x8wcheU7D2awcvDh8EUxPPr4zfcvvL/
9x//8nF+ladFffz2y+t39OcLbkbN38df/vini++//QIgEhlT4Hr/7R9/xh9fsL2J3365w8D117f/
9Js+Xs2I12C/0oQEiE0jzE9j3De//MV+bP8Spb9SgtM68zEGDJvLRjhLAN71b7/Q8FfEkKVJ6gc0
ijEkAjuP6XHY++0XEv8KAowQjCoL0YsIQVX97Zf7p4/oz4/sL3Lq7nqcgMxvvyRnB9OfN0ocwpEe
UBJRElBGUB9+utfbCLgDRQtnP40W/I7ryQi3bdkWppcyOqRRjSMAwBU3ZXXnUn/fJENVXjoVdunB
rCuIB1myKYUbXQH5JzjWyKJGp7EsLCjr8V3Py3whFvFtSQndiUG3zxUyn+i10jjKbjPG6CFQRL3y
RtTLB+bWgCOZRokmYgA2I1OWyH0X2JJC6vPar0mwVBk6AsrkVc2vRduxj3LmzUMH4XLcJXUD1S8Q
tX2NXVk+eYgTQBONQMPtxympNvsp1BurplrlHjCaBXTMOvB9O45zQzPxJ/cy6k54dzCU0WR/hl84
DhjdrmyIg8QMcAq7awsSIvsJwmBoV+3fJZEHimUNJXoeISUfU+fzQWarbmSZITKqiq4cjAsVAtLb
KspdNUDJDNugvUnCht78IzrT4kQPZwOFt7IgZqCX0eJJ9JGHst31nKJl9A9UzVzN9tQmaAfy/rQ2
7KgU+rK27dsqZ0MrsjHiRZBCLnH+V4JJvSXUlL8jOEsPOSFTWE8vNZE+sChWXScpxOKyZGj9zl1y
W/tGZtAcxaWWSXucDLIqfLIOR6s2paWb9H3S6LbQYVQeJ+URePI9DHsiXKDPqOtdMINIaEFa5NDo
o1vIs10WUh86Fg7r3gi9InNpFB6iHpB24FX+fvL9taChFTc9xtRkTWjewsXdKsdc5sp12OMos9ys
/p5UzZxFlU0v5zkuSunuFUGAZhN7B8kPFJL7XljyGE5pBMnNfbGWIHxxGUX/XPkGBJwIgtMABq1w
cQoWd/T7Qs5RVXBMuIf6s1DMN3ThMy1xWu+3Kdh/R4xqZAIMuJRQuwJ7hXPtk2jKL2UbiX3riWxp
MEgLOTNTHiy06Dm74oOCdLDBSNHWju0G2hTR7KXXcdUWJK5vCPqJV3RGx6BOA1AIVRBkg02qIvUB
BzAqF/T713fXLj86CJzZjDivJA+q0D+kKm5+mDigpzqSaZ995ppMN9uHlOvp8SfbFIOiu43CsctF
p/gxrji/4dCbbx2GT18MYwn1f7bJhyHpgPQtzb5VtcAY7cEMV26NzA5KKkEfUtOrMwg1OFrusfzA
ma7qaO+k1UFGaf3jExWFk6JE9xSzHM9oVAUB9Qa6DztKwcwXH0HcB1/EDxDghh3UPJjSKs13biFR
PjfTfP+Zn4LEGL4s3JkvM5axbAhgBkKQF/sCZ1t6sw6ufyO68oqwmqvroZXuCD+nf4xrA1Kvw2Ov
pjApYqLqr7iH09eoVbCnb2jHJwKL2IRcRQhUYpkgvD75nuxeaYCWNxS4MTzB8aZ2BGMfH4ZE9T9U
F8QHrZP2+ydESwBmeC8XMhYNCM4rpL2rC6IVhUhFygezxvhtPDPcx3pk98R2/dVAVIrlAjRXEFfs
5JcDMlC5NvvBxHU+RIN3INUEqABN8KH4xHpVnQGSJIbhrlo6YEiEYdXhqW6PKlnNpRVI4c2qZary
kAfRvfVKdMdbz/sIFz7lXkqg+s8lGV61xfy2Nl2T37GveF81Ud4pavT4DcqiOgDfqLIIj/MOTRLI
DRYIRRZJzU5NCN62m8ENZSG3uGeRi3qqW6Z34ZLWVz16v/vPgNnSJupdkJDvlzSuH7rSK4+RUOYq
xg2fj86JL0qE5Us7xt3hT/iMeRjN4cfTAC3WF5eA1CIM9VzdnQiq5hQ3gl8gCy+qszFM6oMWidpt
jJq2zBaJDYIrv8G89XJu0PGpwWhdDHNJ0QXVfF83td/lejDVLeVpiD7VUDWv2qPx5YwT14EmNZ5a
FZj5sevYsj9DbVub+pKskuzJyPpMT4l592eKGC6z9GnextKhtVl2N346kA8MUUX1rRuqbhyH9CrK
rYd5puBs2vUwEcGGc0BdAKylivCcJd380tieoiENPK5aeIWWp6hAocXulMSG5a7uA0AeGJ9uMhrP
6+snbi6aEDOI7qPpdrEXg0T6hNAp5FnsFx9sSBh5aDSKoEQzz0QQC7WHrPxmsFhuxqiA0h2fznxd
H8FdmJVAJfaQ3Jc4w6zY7rj4a5KXSToUruuirwRcz2s1aryENSKvApu+UeUaEDGClk8NRog84Aaq
f7ASh8F0NIu81anfXVpT2SH3fYWxkGMJwEw34INQKqVXpUjJS0QRYjOiOZsztHbroqQVuUKaVf0Q
9sQcPcwneXMLLjhf0d5stRXXnTNuKOwMhDEHZMeOfVjhU5sqd8DUWH5cOieORFYl+J5h3rEhTOus
FhT3u3AP2LXra8dYPln/yEMT3mFW83DodZ+AAfT9sojA3N4FGAfyMPIGdKfxNC7XHNxWrIFiz2Z+
kwZLmm9d8YPp2CQziTcxIH3zRY+hdxmLIS7s4GOpsrHejf5sC8Wk3YGVjopw7ZtjdO7WG9QMIdJ/
L5Iw8A8jdOGdQnrNZUileMfca5fHbE6vwBeqp8hLFpj9pej3tQMNPODZzFkD7DL8isZg+oCWW7dL
ZVs+e+3ov2IXGvFse/7QZpEJ2jgH2JlcLaEaR2R78WTnITngOMWkPKUx5kAUEr2IthjTvrvoG3E5
Ac1HXTQ+KeJhboYhMd4VahSrMpJ0HHSvtuuYaep0DgYmVLjJQXBlCTC0OEeJI55SFtRo9i9RnWST
iuuLCc2F+3KcxeUoF0hLSzBWORLzq7terQN4B8q7dC+YCx8rz+FxZh659dpunLH2etWFxQm48ALk
gy9xML7KpRsPuMvukHxOriWrQWtNTbeRssx9b1FoH9d16FRO+oUd3Fq21z7zu2OM89b1hh+om3ZM
Hxmb55fFsQqtGazzYP+9BC06vPAx4GaeCn+d4nEHek++Mgy2/l7KhPcFZgslOemIQKcuXkKWl1GE
vrLUBG/adY3zAVUK6uVVCSvqPK7mhCnMoGM6Ht9PS5W8oANBXIFWMj7ZGa6Gne2T6qCAYelcecM0
FLNHIDgpv3fZ2lBQnijxYEKK7Pa7rpT+PoPIAvIzEB+FB4LrDx2j7Mc2V+XepLX/zXTr/JgE1uD4
OqN/UcC012/RguA8mlBh1jEDaGWVbPNYg3nL1pDHGvddLJ7Ywu1zAqcJy3CT1iftd27MBk+uqBeb
dgCP2ZaSZNiz12TDMwym+5nqBk0P+0WjzX1mFQEBcJbyKZOIMz8MLopuSF3bi9Rh4AN8D2a87Acq
0EeNluaU2La6a7lqTl3TNnUG8de7bhsOSmhu0egEeCWeIqHZRy+SpdDJLL8aQcZji/ziDpxBjc9L
cAwgyOZw6OoC8y7BdJGIww0s6r5gSjTP6GtE4Uc7DRwYAE0/atynqAps2F5GoR9UWa3a4ATIV1Wg
a+caLXneULJLOyY++lD1Dtj5kFySGtelCLmK9/BBrnuMD5ouUw6rRWa5YU8RPFIPrRCen1Nb4qaK
A/z0eDS8yWfRvAmMX8HOlXIyZ1XA04+Kx+lHVLtqvNFaAryEFwIYmuo9D16H7cFKNKeu8E0y/EjX
iYmdtAPG/MnWrogAAqjmMk+iQZ4PTW8fugbwVAYDQbMf5NjDYgGOxHDYarOWGRBG3JXeQYe6F7ky
lcsM7YL9GHjNvhZxYEC1GFGsI7CCg2gcquGyZ+R2lByHwoCZB28NGPB5WMuQFTJgvS38aMRYsxLg
HN7TEobYXun8XEt/womSsScQIXLIca3rPo8X2jzpttTtLiXYdZpGRwcu8bH4ksIigPHN82M0hf6a
6VRvhX5q7YfkpauB8BvcPxbz0gFuaaww48KBGanE99sM2OQgsl7M8Q2n8K7AO6KwnCwWX1FG/nMZ
pFHqgBCE9HpA6/CGGtV/b7UBpUIp2tsZA1CKskT2fQGID/3jsR2NAPpYduD3HQ5ZEiOuNHgoO9Kj
p+vxMQkdzauowSnEw6NCC99Le3olRVoNdwRn2x1RINEQdxqOzS4tyzna92rEorVaNHExoxpTVrKE
YnYggDuCrGXEO4wHnkT6yhticyhp2/RFCf/ke0n4eLChr/aoknAPUSRNBfuObQVbGLtoDw7XP5Yp
T9zlxrLg09XwOSA7ToJojTjuUDwTq3+wTdTdY0uaowMDGjxncEHggFZPRAe51Qm/njGA8OARnsjf
Y4r7rDCsA0w1y3G5NU7jXbX+dK3k2lw53qBKH1MfKEFQ+SnsXR7ydMPZ6R9aqeEOgGUgriJE76G6
Mh1mSWGp6tEqTlxUrHZYbS77Gf6cMHDTE/xY8YssDdbWYXXDckB6O2uf5pmtBslRFux5iUgMf4c9
marHWJlnvtbpY4R5VRtBhT0HFh0Plrk2nZNnxxZVKC3UnPvRWmGbICUKPwxwabMRcdlBUa0+lraz
ayeKSkkPNp7V/SiwReOghKOS9AWclOHq1eqnNvo/W5JDCi5SIf5rSe6qXt4+9F/uXpt6nGQDoeeT
PPfzBf6Q58JfAxrSMMIRmfp+vOVY/pTnYv9XSGxBiCjeFHTtJsH9TZ2LfoX6BjWPpj8VOPQ//lDn
aPArvhb7ve9TyHoxgqv+G+pceo66/FOdQxOORAQhNWg4I0UXv+EnrRirZUNncDj70hP2uY8a9thZ
D4ugX45VjVS/Ss8FJthhoSzPi2YKwfRBDYZed01Db/l5eZ0nxpJDs626wRISU0zbWkzXgN/QkiuR
L1UHsPm8dvso4PCk1E2a6W1xr0LS7EuASwxo3mofNBBgCZNYhamkqNuwP2jqx+WhFnMkdkYa/aNx
VeiKzmxPyrBtMjApYr+RphqmfPE1By27bUloTKfYLwn2KU8SrDfgfd6S8z4GIApbGgNVlLs2xU4X
YSF+6IOQPaFKwjrTEz5fxlOA7TGdcXlSg20Z8wGTS3XeSaGvi49Y1wT763mvxXx57LttOQUniKLY
jcm2MQfGAvqqt+0aUTUcloJtD08RzPrcwANWTIhPRDmx7fax38m6mLmHVaZuPFQELAxRHTSgAI9S
pvKr3IoHtpURMx+wBc0SZzhSb/YoVSIdeQxQe3RbGZJuBQndSpN+mBqeh1vBUv6sXbYyhvM2vgHA
wQ71zyqHwIyFRaxE9bNuhVC9lUTSIsBdQv3JlnOxhAGAKJz6cxGlzgWVORdXFh6Ak49QPIZSZrbP
qIToNWFwxzjE9MHUdq7RMEMIa6ZZvWkXbkVcspVzYtR90SVzbQqY7Ku6aBqAiZZ1LoTNeZX3QAyj
H3qrEZdaQ6fShqJ0JFsVmUDPHYDB4DL2aq5uvE5jbZ1B+GMo31aCtm0/gx2vgw4ceSfqAw4m5Q5p
7LgBQZOgii2DKXkBWRnfh2ZGlP9W7sae1eUVjKQ4LUyDJQz74ohNu0MYRVnwaUzyScDpU4RbVd1v
9fV6LrX9c9ldbxU4X/GeYJJ1JNO1o9dIf8aBspu7Ud1Is6jrdavogde018FW5S/ngr8OIlQT6Nt+
Ly0HZ3M+GngMpwSs6unFgGLoVQM0v56j1BZiO1uU52OG2k4cwcLXPB7L6pBSYbOy3gpXHz2ZveJs
XWFGgDsa74KKyy5q+D3YB36xzJYnGSMwEQCCTAQMEttTNQ09ao5o8JnCkB2Ax/352EQYaI+sOR+n
IJ9hRmYwI8oeaaUEVKOoVTPnwRiuQBUnvpuNh9h4JBD7eYxImxTDy4GvLZR9i9K2O6UTgmz9uZV5
bT12mlZMCvI6KlACp99GEYQ5xBD/Dkna3dF1ffVNobwtJOqN0xRT2INKidU5013JnxfBg7zWXm8z
Wo+wHk2AO+94G3iXHijguyXs1xsvFfMez7l9S2Jev+F4MX0ZSB80hWjrscpSQPUom3T9SNNwhNkJ
lpUIDkO1i9CsQnVRW9cXAZ/HK9LBJphD2kGNIjEyJMycGYOvTTSmt1RVMPz0SzkeYJyFaQjn3Yt2
XKpXVlH3pY/RqoefKQjvIIfBi2T5cDKTGx/6KGqPa9Czd1KF4UXn3DuEufJUVxWGstMNBcPQFnYJ
E2MMlWSytS6ApwZ+5pahv4CzMLnVwGWubDBDnimXtDCE0oex93WTsbAeHqjr2i91J6ajaWJqs65f
dQhGrFHXtulwtypUaK9shji/zMktbA6WQLhhpIeTuy2vacv8PncjBwNPXKlfZKvdB9SPmOxRuhkU
/SGuBO7NeIXkS3Ry1RpZoesxd3MAlH8Syx4GzRnVKIvp1y6ogxtjR9buebdqWGuiku/nUevyIhEe
JjwPU635ZVIrmOeb2UCdYLFNEcMdNSITmkZDlvBS37NAgIkvK2JP6DdVB9TLeOon2INw+DONxenI
w8kVtB30VA+uyL0HqOyLaRv0XnrjEC65Rnkj/Ks1ihYcRwTc3UUJpx8YWp2MTwvXrcp8tRgvL9cJ
zwFq+eWNM6rval21P+Ak8fba58tzoHAgaFCAfWmnUOO0FtfeNwvT9zfqkW3JsqZ+qRhFzjKNU/8m
nBaY5SoWI6I3mV5gNA7gn5qgomN1UzFs46VHT1491LdBRaqPZQ4gDdp+cc+TdM2CE22bfBNDQkdY
JaUwWdjH9SGp1njnGlHdiKVckhzZce464CjrFTHmfU7I+AQrOsv5GqtvJrWQs5YZjhwNxfcd1Wh8
s1IPba6ELUVbhZBgmxgdlTmsf3fIEDglXcwPKxvVc9tU4XGpCSAzcCEIADOBvE98QQrkAtDvIcx5
GfIUZJCDHY6PtGuTh6Xk+nYYLVi3xCPJe1KRtKjVZH4f6ykZoEOa8CpORoFJf4yeEKfUXtKI9g8L
Nj+E9S6AYVvEdB1MFEDC7JXCY+K7qsf1CNigsoZphy0IsWfXfdX7BdjF8QS+0J1CzrUuUFzIhxEG
ucfKp/HFLH11Ce4SSOccBHSv2jm90zxFC2XuSbsP5wR1QYlo34tW+++V9e/naUsohDyOpuXS5kjO
HnckRBBW7IFL7kH7HscSIYz5DD2nEAOFrGUohL11RTpl7sTwgIgWlAqavLYYlrSrLRwKQbTsAzwY
p2RI5VUiJ5zgeNKitKm7JcQc20Due+IPd95MxI6jcwG+G9Pz4NtIcrhh3s02ESlLSBjk0VpPBxHB
bwrZ3K3X4QrfDp4u82iCFUpyHw111sikhA0e677XtIheGPmAhtpm3APmWt0E5ZBeAYMdDCSYJrlH
skVwXP2WPfm1iWRWx0iCy5upVTfCX73ffU+haSSrRF9OQyx/8Lj/PY7V8lr1ZXhVNn75EnSKviH9
c31aVQQ3lzPo4oAReS55I3PazfrKwqCLJtXmCezX+T6AATur1xolFtDvzFRsxKF9RkpFU0uBL9kM
gymS3Y/4GLFcNoBZVL2aY4UcJriKWe/up8kGRw999JdYUxyfEqCoJ8jyIUVEABBnhgbpj26q27ew
EsnDhLAPrBcuPLQqhMWM8VbcRkCmUQ0G6h5xo0KiHimHo7/G4m0lojqEkx3RgINiAu+lbW7MOJRP
nKy+2fejLTrsxnyx7KgRNJCGds3Ssm0YnK5rh7T45ZJjTzuwDq8Ul9MKDUTBCABH+h7BxgH8DBqa
mxJvhpZfKZS1wxgo/ylOhL325Ahvj/pkclRT6e4i7ASsDnD4tWWu2/6AEVrBIaGcZD6VNx6w6ec6
cvCyKCwEC0OiLLIk+DOg/xEm2sU7uhX3V2OD8bD2xh7NFMJ5VLYSt25UxvCZ8jJGqrvlWenZ703N
+X6KRbyncmyOQi/6UE7DUuZkkeylbew7GhUUnzNWT6y0bfMNppr+MSoRt+eLTmdNTU4lUm6+tjqN
XnEV0t+xhYPlngP0V0Oveajbge4SufKr1kvVMV5FdUKTe7J7TMJN90FqEL+D9OOs7b4icGD4amf3
A5XeFcbFdNB05Fq4AOi+rTz9DkcqHEpzdzGHLUNhwl/iZIkfR7T5DlOqoqxBvbkHu5jXJWP32C7e
xyou80jGXr5O7h5XQl5KX6L+YKjnLqahvIVSi8ckBRWWo5Jw+MixMK+VU3vY/dNXdF5ZXs/N+ghB
JLR7a1N5i5gG1F2uXZcbLG/7atJzeo0ub7z9XZoNVdA+unaWO7vS9Ykv6qmKvQb2I4AKSVm7E9xL
zdGbw/kb5xGkkBStdlwq2WejrNGSMkPiX9c1BrRmgz8rbO7pCMtsuhpzmEgZHeEuWUBql/KCjtZO
8E9CEAlxJDvG0ksvTUxcPgrQ0NnqIVEBNxzHHj/3Ce4UeBgNzHkhOYnRxzpWSXsRL+xHy8fmGXrM
/LBC+bhLKIPTKvFRHCg4RGKYpQTOGCsL4xvcY2iIIBb3dQlYdCNMOV3HzUpuWeCZwxwA1NeRqC89
iZhfOfRw6NmWwrTLviI9YTyoGtqT8d1NgIZXXrv5GzowON2x5MvqSa+IgoEdojG4maYRiRF6K/Ir
eKFeZzviG6MY14vIVRQchqgTHFbmmiqh3yBdptjGfFWh+4waHJqo6o6yapYYmiMWwyxKLOgKmEhR
HnV8FxnPO8DThYetW5ZrU8GLM65yuiC91rnp2hTRVvCHbVo8NHdv7OXbOgXLTb1CZk2asTvOKrIv
HTYdmOJLh0AAixW67f1y54dpiughU32MYkX3bmhwbHM2PiKcNDp2lawv5SjGiy5BnssAK3veNTEc
SoHhQBQa8eEa/wpG+ThLma2arJlDcd2i9fgRmGV+mEg3mdOMhsOTP2v7kfgNnFbemETXAzg+Pyej
mN7hPGxxZowktjYXUW8PVRzJ7lHvP4FTYgdQkALV7WoLmIwQkSR0BAUY/4O/8pWnqSkqHw7h0U9f
SFlhNfDYo63hEsHpZm+arWkZptW7kDghehP7mtr0JZibt3Xk4mIQUf97LYMojzzTPpM0CTDUsXnD
ng2aNjWQ5HRFgwJXJobtpeqOwqziYl7l+DSqEQoFElUuSubrD9xyM0TbumyeFvTAKiQ4YYhJ4yaY
LgbzXeMAV+C4EVzCxG4OvYy+wgiKBwXNKEnm4ODFQ2hh+RnlT63ed/H65iYP7bOkfmimabljc/0N
XWqSJz2M00lawuQiNL5/AsvjILUuOzQot79A1oHek9h7EUnyohUJvoed2cgUZFvnPtipY1utNNhR
pAzkcun9I2o5CfdEO9ibdO2nA9r26CvPY0uwag9eIRVLntyQYjTTHExPrF+xICk2oUfsaf8Yjckz
mUaTG8fsXYyN6MBRAt1Yzr1CB9YVslvMjcNEDQilk72YBO7faVDV0SWqvCBRjye4TAcPbQ/bVL/H
q/ZQ2aBKbnQwP8O0BFmfzyuAmtiEBaJ53IUxve4KNvRwhKFVhd+U+eLgYhS0BBDZIdJoP2RydclD
Sxr1tsAJuodF7G00yavgAp1RFbkjHFns0HilDvawVxEJqSQu170olfyOKMz15wWKcdi87p0SBTpU
wb61YoYhTBAsUDirvAhq60KOSWvyfsFow8JAeE5gXG/77jHxVXAJm2SDOCEsPSkq3nxdIwk7Lh5Q
Sg17jHjbQYVxP0ocaHPTcnZRxrErSFV3UJLxifGlXA+oSMUz+o2iywiSoDg6uRGe4dSKBDvRusIN
Lw3WiMmYarqseowTRliFDtyV0LiVcKhsuwwuQBq9MQW/X42ZcjgMBUkVH3GocjilUKjNmWiTR40U
GPQ43SDsBXF060CwxjVFK+2UFiFa9AhugcKCmmEewzcPFDr9yeP+jxaGwQFtUwj+a2H4f6+v3/9y
9Wrqjut/loT/+Na/E5skSmgcQLnx4W+G8PuHIkx/hVWBhUkMsxWD3AIy9G+SMIOMjM5zEtMYQ9DQ
5/lTEia/orGZwPVA/BDRr5gh9d+QhGEM+8/IXj/+nBZvMLN18BApfpi40IXbUIqUL90xDEdEU8DG
5u3lmbqANvi3bCOwPtbtJLSJb9upACuJ54u8hnUVgyyi1pwIkmzmbEjK4XROPerQBr9BI3sMDuF/
iD5SLhgxmtLy8uKcf+TakD5P6Rpf/cxA8rVMf4gqivwLLjHcG1Jktx7OaUgcDAG6QFb4D58jkaZy
GH8H2y7fz7FIijskQ1lSIQLNNIl5qOHw+CYwFFPmpejk/TklaQYQf7s4ZRekVIg6OGpa1zSrTNNL
FAzT32OTdA9ZF0oHJ4jzGgDBovuGSBmcvoxKD+he+xBDeGuhPaJiI0hwvdUIF/mhHZym/5ithBlj
/RcFtPFxmIIRcWUTon5yGjD3BqEUYCPKRFA0cInUuLZwsR7DBVkUIaomnK0jv4qvCORN4OSo5x8b
f/E+/kP+kjct6KHi1B6+/WMIE3zZ4dE4eMQyYxIYVeM+ddP1djBqdgDM7PdWQrGBYPF/i2dSUTSC
5LUiPsEXEoUo7BGRstc1Ou15AsN5+RzOA7N5amTywRDdSMFPJu0Veox+mo0lolZzMYKYLcqm4keH
TLjdQlDk5qwPJHq/8Ayi4LQrVKAU5+HpiGwn/3vJvOUViS4B4EkvYUXvBfSHn1pk8NYV64EjIFHI
QkBLfA8HFQNNUiFZbb7uZpmAF4XgmmTAFNEzdTMLjynr5nJPvDgJ72q+MSYhbme5g5qLAnqoYbvc
IYiHPVIeN9Abldehz8qMRGB4MOCsSdzkf9hNkvNGDnVu7NZKF8NZtfN8CHgBksrgyWzT9KHdRD4M
kL5YNt0vhOf8iE7w+IABs+rkNn1whaPkLmzR4ciDRLkvzhPVa0gTDnurbi7UpjNqMtEORleoj3GT
kkfAhR3e61pDnuzsnGJDLtvxKhCrBUtwFjOXKAVIaPU6HRFpWT2mRAECnlX6oc+SqBsRRpVuOilH
VsFbVW7a6VAChlWVvePSeJfjprEKNG7GrDpLryGaP9/gdKYuG88KbbeJtS0+pAKAYfUNL4I6bBN1
zSbvWui8jWwUPBsqOq2bEpxsmjCfk/Y0bjox4jwgGcupQiKIwZktHzddWcXrmvOfYjMmIC05GlgM
tS7tL7szDZScyaBxg4SQwOSOywYO1brz1c4phGWiDwWySJ8po0HHRu1wdfxXpsL0OaJTt/M3NKlf
2/tFSptXG7kElkDu0WtG68CxCWQTA+PUbbQTtFr+3m8E1LSxUP48+Qesde0FIDO+Q6J1ktONniLc
Q7AHHmXAXQOK4o2y6ldLM7k0MSaJgsGKKhe+tJVpl4xvnBazyCxolpbfeCEoLoSwBLfpRnbVSC0q
/I322rIW74ZqLgvUyYDBIEkNh8jW4R0IhOb/sHdmy3Fzx5Z+FUffw4F5iOjTEaeqUMWpKJGSSEk3
CA0U5nnG0/e3KbtVBaIL/ft0nIvu43D4t02JiT3lzp25cq2PSi0FL4qVkckQQZTb2qpzOwmsGbj9
8KrN8PeZQKJBW2Bc6UDhcxgUBFSNxkJkIIy0j11F66fvvuTUV1EMNCSVgui6H5oH4k0HRDEPCTJ+
AhdHE7Fzm7+C5QxjNB8mgaBDKITaR0lZ5IbaGxA7XaDtIoG7iwQCD+y/91F9heWhWuB89wmFt1IN
ao9kZ/WtF0i+11v5/+PgRJG5Wbj3LkUnm29J+4MeARBmp8HJn7/6j+hE/rsKcYSq0Ix/Hp6Y8t9t
W1dl27QcmkdUwUX7z/BE/buMAyUyoeila5qIk/7ZT6Lzt6hlU8lWZEW20Oj4C+GJ4YguurOKtUxZ
jL4WVaWzxQEhdt54KNPs5dUmLMu/KRBIQolcsQE55zdI27zm6CW9bn+IxsZuDoOq+oi4A4PW9six
8ea0ee2FH6Pa6ThZINKUXeQoqXZMcp2SqmoirdpwpCW/vPYnmpQoScDlCfwkr2VjOgZxC180ozTj
6wDI+CgyEaVNioe2EZNyZpZMz2HZwOHTqZIR3Va1gBdNsL5ASUEdE6qWrFD9u6HyJ5tiqqGp3rsc
Kp4OnCiv8W9A4eCtGCppCu8o3yc8kcbQSSvod7sWQCU3HT6GXLS/aZMs7rqbWjIsD16sTjR9BDr4
FkjaqKpK9LSRj+nUAY45u+puczlRlXdRq9lATjSVQTnU6KtDH3j1cOfJEdVS/RWSAysQCR3gM81h
lCY/uY1SGjI/OgLlMzq0wBwKynrNO5xGG7teFCspOFEPdUfVCsv3cj2WGvRZtDXsKMGUPzVl8u4S
aCr7YyUnUbVRXrFIptrDqTGZPIoKA1TVVn9FMeUyyny3lUA4NTAE5NYGrqJP1SsOSjGmLNn7pg5S
SslSJdkMtkLOLIDi2AIhk5oGGbl2DFg3UFdB6NfdTaWakeRGPkifg4yqS/POs1spuAn9kdQoyHGE
DNoC2OzQanl6LPJmsK4DWpC8q7KghhA2gaPCgOfJ9VUvaJdc0gpT8HXoO3ZU2WXpAUcbK9dqPPrS
pqnLPLpKFN7MV3BEqbtJ1qE8CcJSLT9lTZd4gjpL3iH1HKtHtaiS+uc4adAZKq3efG0nsES7t7Rg
NXngcWM0qgzmXfCCESAGh8B3RolHa6rimTWS2/9XGcEisyIk94GOASeYjmCLg5ILuQ/cZiSX5ya8
SlVSDhBKBDcmoApIOnJgGkWcPYMwBJGfofJpWHBpwyI9gQWtKEYU+wIyymkDjxU801AG0Y7R+2r8
lWJQocK6A8WYE/jRjyHXjdsTmjG+BmLnaoSWe9vLQ/JiNhZ6M7+5xqipKuTmO+gjbiMAYcMLbH8R
dFdm86yl9bWZNC+wBV2ZWQmRj64+Wrn8bCJQUO21oOqef3OSAQE0n6LRPiKrbjxBzljvFLXIq63c
9BaghLyzQQvYoDalps52KsmcdEMjt6qSZJMiIB4EDnfknXrXI6aHWqZMu+Yu5+0CD18T//oHe1kx
yFlx1MoYdmtuT03QNE2Jso8cRvibzQw2McsCzdx5X8I0iJ6l1AT/ZeFWdjHMeWAdfLltb8gS+Udg
JbdRp6QG7HzWUO/1wUnIxg+syzHoAOi7mtIr9bXWlz29L4XV2j8ruF7A3ephkFaiReCE/axg+lpM
qbTU/WY/axUIs13eRfTFzYnPPFtxgn0f+o1tnBGf2amW99dGwUEr7y/xnnV1Qc3AD7XY+ThS6aCM
wXQ1qQVfChmeK+pWEYUmQ30KHbyUHZL0JauPMFP5w0m79wr5UV4wOVyJ0fTDHMjbD2X2khUAVNE9
xEGYik4VpAYd3jsDiOvSM69Vv5LdziDtEmbSEU4hk/NlVRGloTBLDqruREfd7ouPsN6Urg+RUjOU
+MjceKD9I/9QlFZyQ3f9jQSVn6tCE9ZVg/2gqqi+mMXYIP8pCGWLbudoEjhVs1bDzxnkWO/7EcHn
rU+3v0O0HpTDVVAMXQHtOAQ9itQO5hamNwAIg2MpB4sXw6akfPtclJmyG2mSw1F3/ZWtlsb1UGcT
rFrQSypcCZbyQun5NlU1+YM+Qcv2jiKd7N+AXI8Eor9qZZJbOOYiSazPHGWI35v8vWo572sLP/3Y
/Ws0cFacT96ePUI6DcpImvDOaOD0HmoxWKdquwCNCxz47q+RwTWQr1CCK2MlWSCDi7V6yD5UVcW7
/K+QwemBE1CN9SqIa4MQsqhbHvLjlxboDcQ39SUyOBAz3r3qaxYQhRUyOEh1mt5Vos7L75ozMriE
yjjwsGgAemEYEuw8/0UGx0vrP5UMTqvt9l2oxL21i/+LDO7/ITI4G226267tveTmL5LBeZ7T76FO
9t+res0N+59MCweMPboLppSq7V+khTt5H/6jmf+0eZ9H28lTi/ecpnKjavrrvzTztbX/hNupV+wM
rkeRhUsVVJY62vQTerj7TT1+Hsv9WH22sjXBT1LcCzZJfcs6lAZoF5w/71TqLAo9coUbq1N1SKbQ
22byRMVJmR7sZtzGqoU2SOWscCkJpp0/r8rfQ8UoSXmF1+rvpPjJUBPo+NpYGQrXyuK7AmiBJ9+l
3vBweUIXrTjgtwFbq/ABzt6ugdXIUl5P5JssaPx1j2RhE6HRpLX+4bKlWRb/HwM6MQWE/JSXC8yd
GeQkrtwYAOOma4cdrKnvHHBOJRJru8nzd3AeGDsPfTjWtL1tQ+8pNI0fBXyLK98iKB7mk2vJhmEo
gPooe8xA5rXllTQlFYWb6oLpNPFQoQ5lsHhNAwqkzyt7T2eNuu+8UqMfx3cAUfg/24DvDHoAH6Gj
VYdYLbTBvfxl5yQmvydJlGGompC6AOZ+PkltXiVtDboEwY3gW9qYH+BrLkUz4SfSbzdSIo0rU7Gw
AWwZ8BhFTJUciix+frLNxmmEqiPGoMVWHuBLjKHoh853hQdLsN7MJhwzumVTSdJkAP7nZqauV8Kh
JK85oSOTFPIhGOBdtR6Lqr6+PIPKeTrmdQrPTM2mMHeiWgdoV7hdAet5VR56QQPH87s3BdhX2qpa
vk0nfQsP8O8aI9Quy9wib23rioVcuq6SJJFV0k7nw9QTGitJAFOAUl7kPD3QNXolokTVf5LqXygz
7OWU5eQZujJo8YvP5lcYtkwYl0iTkaKaLWNmoxzgd4BG6avYZNKA0Ly0GYFpDwkMDIcy29tQP8fG
U1Ec5OB72qz4kTeOWdinnYSUGsQqNJGcD5yO816ZgLm7YeZfDwCYsaOnx9HJHqW6A305bgtljWLp
zaaaGZ15FLSSQ03pcmabowsT1b5RTdLA3AbZsDLBa6ZmC6vA81o4MW/SEhzMbaCCeqxCwGUwfk+g
U/I1b/nm0hFDczRNd2Rbtyx9tp5pXFbNhFiFy0P5Tg6BFzjmjlXEPbkZ2gde/WtlB73xPFi0ZVkF
na1BEz+/CfzYgCosTAfXlJQbLOVyRsGrc62wekoaZavHAKLKvRlF7/mHXL1jM8HnLj5K8vLbCSTz
5S9a2lKnHzRb3YEsW235fFCYU3LR+6MtQALGk5p/pbswKfKtbqzcuWsmZ6usZ4PZ1HUyuKqNJAmi
Rpn6vYPEP5cG18ODTBrJjmZ/eZzKGxc8m/mZb1Q6XTd7JR7cFlA8PX/X1C1pVbgZpW4zwkIBNzS0
/Uen/lVMw9bkPhjIuFJiDIMvlz/lVah17kZsmcDKkmVThSjk/BhHALO8oALo1NH9rQ7jbUzt1SBB
SDaz/9Er146WfOnkfWZ8FpvSArrbct50AL+5UxxSyioxb/oa2l+xKfIKNhhGUPbGfUsNTgqMGxuM
CXa2Tf5ToiYfJdUKO5oifM2FQcxhA4lnTGXllwyCzpKN6jwYqU/vdHhHLuG+IeFnspXZOwPIL3GW
VuZQLNcl8zNX6NsO3NEFrrCauk+WObmTxlraw3WuO/CkeHtlfLL6Yuczq01zhIjkWW9pLMVhGncW
CDWhWBDB7tAN5aGCIFUBOqPnX2nl29XWyoov+ZmTBTdmh0zL1NSOS1woaGV8d+6yslSPD776wTR/
QPXtXp6dV9rYt7ND+RwAnKyo82g6UEt4MWQ2+1QfE6gKYN6BEOfe4XQxRjxLoH2FM3tTQXFkSdma
+eXF+WNezMdJuDOEhVpFVsTiBMlN432nGzgbYWDmqIlDxeHOJ23bGPZmHJ+GEOL35sHqVxgqlycB
9IxJnyVufh5+JuUUADHgNpFS5RnM4cbBkRZ4udx+j2dtOCp8WJXtaxTkd3H/c2URFk+IYulARmRx
X8+2qGfrRtkM3C6ZbFKDya4wpRig1dAWKMwPWnUMUmUbJza4hHa3Ynxxy1Gz47VhCUjRzMdUSE8W
ocKWkyxpX0b3etjsQtwMLeFfamW8qsxvRCyQJmwjSOlhrMpcPq9orbuwlW/AYkKZkeTb9Tt+cW/8
+bDXOt/J3rDkhvYpjwunCWTH9fsWtn0pC9+vjH8plKD1UqdgCN8drSrnWzChGxSs9z8uWl/7TgvC
xqys+zE6chCATRy1/tj3YIKhllBcnAIVwnsuvrHqry5/y8KIYdwjajRkSxX/5fxTqHslpOC9wS1A
iJdlfud54cqJe2uCJzM0/Ty1bEfR5w+aoElyFU4kAida7Lal5fzK82JlGG+fltSAFYJOS8QuimnO
pjSgsJnJZcupzvaW/KuzejpYvxIyWK2+w6f0UD2Z3mvAQKp9S0PR5Xl8u6WJ9sHH8bARKYJ57BTE
NBEAjRl5TtK+S87+I02P3+xA/lSM/j4ay2/kNMqV+EgM6tyTCqNkCADagbOb39VIGsGX1ofgO2pw
4YZ9P/VQ8zSa/Zd4aXlPMbmqBo+jqhsEBvNNokqFpsstQmxl2cDtpl8D4nq8PH8L7yZsmBZ8kapO
QXb+fKkjW6M0y/NFt/L7aoQap3lK8xugoxv8IStoTO231chrcdlOrIqTenLg/QIcrGcKq0aKGpu+
Z7Vu0ia6E++IsQVe5McfLo9UOLc3iwaY0jYJtMEezEw2lIPBReN5xTutI3SKFHtPtXLjxb9+v87w
wZdNLo4SPwMYw5F5488OhxqpCU6IUfZFtaNX14Up/h3OxR+iPfjjnwTwlw2+fUmwmA6YCFWwCcAn
ej6tTTgoaN6K26WL3ochpJZcLcKnVZ9pyluJ9hZPwYmx2ejqWmlyyqmMTh6v/Aw+r8nY6vSOXB7T
khkNHwNqxDZMbe60O86YqY/jAAvl+CMppi85pSqrq39eNrPkLU/NzLYHjfNGBfvm4Mpp/iVHUY+3
+mUL4jfMNyAQTdSwSGgylll2xLOELqSqDa7WJz+hMbl37PLayVTkTVAgvmxrcTQAhEEAAyEmm3W+
EVDbbaM4NrlQwwlpFNOqNnVaPlw2srS9wQWBDQIgTP5jNqDCytKmNMH8ihwDT5N+LG796UHNy0Mp
gudwxd7iBAInEuhmAqg3dw1lX0WPuGui2LyBlO5Twf2N8vUnhCdW9vbCSwa8ky2bmshqgXSahUqx
N9gS3V6jC5sSqLsJZEmzgXFvI05UTZSIijEN9vuqOKw6x8XFc2AHwSuDkpuHaRGdiJJtxaM79BQE
o6FREMpLpxVfsRAKM8Q/ZuZBV6lBn2U3iN5YXkVDVyZeujyFxEJWnw0DLkwea/L4ZIDzLFeMLy2l
LosQVOXxpKuzrRNE6QgjQDS6JRAp2ZM/Vk64LZzxBk3F68u7VPyq+bHT4UmBkgcJA3W+a1K0yZFI
Absdk7cokUDdoHZ8L+4YvZyunDzeXba3OLQTe7Oh9bbWq4GwZ5nybZu391Xp7W09fTdK4fE/Zkoc
0NNb1MsKusjaETyrjZJVoNy0Qf5VlSEboEv2P2TLml0tnQ8BTld08PvV9jHmqnTy9iqtchoq66fL
ppb8ik7zg25DesNVPXNekV95plFUoxv68TYJvC14evFI55a2EdhW6Ki7bHBxyU4Mip+fzKNH71Lt
mRg0Tbv9nSLp0e4NkPWLojVdisX9qAOr1B1FdXRrlumiqavTJUUsGn1MmdIfaZdsodjRCaGHAO21
eOXZszideE1gYHCDvylnAYajKV2vRzej1wdWDZteJV51MU3O0Prs1KZzTWVcyectTqktq7hQ1VCM
+TvXQeEPwTziciR23zkQeKL8VV5VdvndNtcyG0v+kj4ZrBi8pd5UbmQYWqUI2SDeUiR2RHInCMgs
XN4ji8tGdp+KoG6iujTbI1nAFTjlDAgwPKXYuP7Kc9rZmqCPtroaxCQMIEK+bHNxYCc2Z66EDtOI
uBibMlh2OJeyTyiv/ivu8cTGzIcotTXokxWwO5QXO5N3vOMQrdxNBgdhUD5dHtBSDE5e/Z+TqIkC
0slBqxuYNODSoY+m2VPT2NtQGpFxEGKLpY6sGq2HqymfpYXjkW2Ztk51T5/7f62SA92Cb88NOuNK
Loqd1dT3r4l88GlBMK0kIZeGaIDwk2m7cOjsmh1vUF126JSY4x3la1/VvLsyEHYll8BAJ1FOMJ2V
G2fxDXdqU+yj02kNEmrW9EC5SGVvDM3ckslT/Kc0SreUrnnGjdlDBdPt5cVcnFhgb8SXYLphIDu3
6iO7ahVTjiMr+o+Gb18BZiOVGNPd2cWQL8FtvjK3iyGLoRKQUeZDzGDuO1W9z2SNt6OrpRqlah6p
8qHsTHaNLoraKGFu/CAZ0JKcmkfVs5wv4t7aFmRaHpWANtR/ZQb+fM5s3ge1kFERIIqhdrxBjvx9
PZE6Q2CyVdBZTeSVB8SSOwCOQJpDBYxBwe98wlvuCL9ICNiSoH5xQqPaJhNwxctjWnLcvFFUw+QN
SV5F7O+TvWQatK76Ujm6vlrAaFHIW9tTP7S9jzSJvuLfVmy97usTW6C3RwtWLi56dNP1hA5ZZE8J
BhMpWFmppTvwZFSv4f6JJQjAKCbJWJJFz1AnuwB4v9OVtZHIc5jUUpQwXDuVizaJPHmGG/xjXki0
rHhQ9CBjdFHwtXSqz6OZINYZgzo19Z3URzcgxu+6wXLFOyY1YrfU+u9NkN2JCE5xwg8ZZQv+/O3k
Z1eXV3lxK5182+w288224+nI8wbQ8Dsfj5Rk5efLJsTxn8fdhm4Yr4kI6AlnjnAYbQPueBF2mMoP
u7Mho9Vv9c78dtnM8kj+mJl7oQa6xTBlZTNnuB87s0DaPH28bGNxn54MZTZbk0aBgrz96IIO3LWB
/EDqym2HFHqyZA18tHh/nNianT8kxel4s4hF6Qbr911YtFeaXuPrhqo+BlmOAKomJN7zrqVrsDRW
du2iUxc0kNBNWirJ4/PjjyZz0wWxUELVG+TNguxI1HhTp1CsaVnGE1gJshWPs7BRuC8dGolM6mG0
Dp2bVKsxkepcPJiocPZquwsr42PFVXJ5EReOI2AbTYEqxIBpc+49TVrzqiRjYvXBvqXV/ka28i9R
TAin5DdtM9wgGbyWRXgDiOGIUWyi1mDKCu/5WQBn2nEGp5FoBIwS7XvYgV+DB0boh8fesQEnkgxS
ivStacIZV6/Fxcsj/mNd/PzE6QVToziVISOIGj2Kui+9CAfyFVSabwAxTNVfz1Yr1Bt0do0l5ni2
derSb1WjV0eXG/xoK+oVSe0VE4tb5cTEbESdVMh0+WBCL4enUB8+QJb90QvVw+WtsuBTGAkdUY5B
eEOK83zilDIL0R0eOYNN4pb+MG1zI1q7khaNkHWnJxbivTe5WkuuB6Qy2RsoXz2KbJKUO5//hXHQ
IoYkCJ0BlDzPxxFCdmW2mrj1Rm9XOu1NZqj3l00suEaBkpR5y+IsXslyT/eY16gxNCGsiBwk21hu
71IBCPL9R0n5cNnS4to7NqdJASPBJjgfDPx/XluFErt5kI51+qxnJnzV15eNLIXSinJiZbaJxyka
ZGfySAVo3XFMngieq/SZ/yTjUdLVjUWi+hWjInCbXZVnRmduAjbBIpR1hpZqBX11wQ7u0WulmW4j
2b8SKA8JTjXL7PotnFf+dlKs58tfsDS3BCqcXpnNyAPtfG4906bPN1dwwfSBO1m0LwxvC6f9yuWy
tFlUlWIWnD9YmceWUpUjCxIavKEhLRmEsnGZ3rUmushetr08oqXTJaJkngkcYpzw+Yi0PnRgVdVI
Vw0K8X8j+qPMX5dtLPlXla4rQNG8LuV592ldIXteTeXkagOdVrx2AhrZBZGLHxfQeiuHrl9xTGsW
1fNRQZQuwUCFxTyh6QwYq7mLPSl+yKy6uWuL8hvUFtPO81ASvzzUpZXTCOUgQRYFjHklcor02rM0
f3KNMf1pxkNwpY+Z/4UGmcqVaMRZWb01c7OzXjUWOKYY4aswKgYYWcfhum2NcK/QW3fl1+paFXlp
/0MXSS0DVIbK7jyfVz0knzO2+cTGDPadpR/CQrqi2LwyLPFr5uf8jxk6oM/N5IlsQ8KGgAZcpQ/+
UN/JTXxbEYugWAPcQI+dlZhn6RTAEUPim+CKGHl2AUS9Ndbwt7JsdnlbjPazUtgrW3JxqQQJOWhu
ygnabOqaUR8hJRNnGv5F8eSP6DxuaNk1iXIub8LF6eMCAG2gE2XMvRSaAFIZQMbndiCZbTM6wAGD
vt3RhHFttQizPC7BsAOwQH6TakB2tiIsBZhU9TCQZeF3qZLu4RCBRrn7F9wi/fL/y9TM+zZtmys+
hM1umcZPskMhnMSN6aBmV6f6yhyuDWu2XB6UMRCSMywURlo34JShjALRFVxZwbXd9is7fvFgAaSF
kEBA3OdBt5TVijZFDE1rMvkIv7R67UTSNY/bNUTymqWZazSTTg1DoZUHdjfY5vJ4lGyp2U1qsBbU
L93WzBHXpQmbP6HV+SnWJi0Zox4nnEb9VhnueRnCnfI5g3O0bgO6YvclJDC5XW1XQ+wl/39ieo6v
jOWKVtG8YqdAAztI05VhPglYZURpK0uyfVmsnO4FhKyICshmEkYiTjAvWiPdGLbwnEyvw3otDlKI
AUY5JS/RALEr8GTuAZHXBDankF2NJTgA1iDSb08+VQTUCaCUAEvBSTmfcp/7J45l5ORjQzp0o081
Vn4YA9IW7ZdWXXlkvJ3kc2Pi5yfPpgRQVaZ6ueqC1IiyL1ODNglF38zrrvLoc9x4K0dSUGXMrgUM
CsYOKs4ELPNDAhGKOtRTpSL2OW0HFc1oTWgQ7AkfiuIa9UF3hNwfXJqcPAES1VG6SYFFj3VyEznB
USk4w4jesRyX/e1CMHz+YbMzxU5MpdTgwwoA2bj/m2GQoNV+F6EuY4oiqjHsY5hLy+nXZctvvZSl
ss4kIbhTgMTPjpilVm1pN5TEAlTPXFluDIDXMfQTEFvpaUs0d9ne23sSe1wrEJPonOpXcPbJkgPt
1+MIaSTgSBlt1nTl04U/mSuH6e3GwgooLsMRlngznW+srgtKw08QkQ7CTkwgHON6WboQHCSbsosf
4SocUMtY288Ly4hd2wTlQcjBc3YWTdnFIJkDfeIufOA7NHQ2uv48lPskiHf1eMyzL6H0afAeL0/p
W398blQs8cmUZnlYKnANMNgi+zigsFRXwxEZsJWVWzbjOCJxxPNzjnia9IKKixyhb601tN1YWnNn
wBx8PSm+v+L4lzYJfTY029CrYXKhnY9INWq9tM3ccNNJ/Rgl5R3n4/rypC0ulU0KhaQRahhvHF1C
hiqZ1NpwSzU5wAJ1PYDtR953D3/TlT2p3xovcA2juob+7OWybfH558EpxVMNqw4vI+1N1T2GOhne
Cc6Ap8ACj0BmNkAyFqMrdBTqxVlyrUnyyuq9br03RnWd+rDounvj+vJ+QkOpaA0XYrktDFofO+9B
1addNOwr4zOmh9HnNQz375PoN7XR6pXWKh4LWB9GfvIR6mxhkWiQSiheQeHDUJWUV0Z19EPjgPku
v68Zf2Tv42E/SdH+8py/vdewDBSbTBie9k0zZJzbYzeWnuFCkP2S6uDuZelWhSUXxYQbuGbX3gOL
a3xib+YJHFhwWhaaLYywaR+ZmwJp2aY/pFn/uZuaAxQlkJFm0sowl9z56TDFIT7xBeNom3bA+9s1
KpSiq6d0QGqwHO/gRl+xtOQOTi2JLzmxVECrNtYtA4zM+G6gyzQZ4m+2swYYWXIFIJdEPhnSkzeP
nmK0EoRJeyS5W+PF7rpDKndfLm+NNROzKAQG96nURqit6Jv41Bv6z9Czo91lG4vuRmQGDSIr7j7B
GXY6XVPfI+Eh7lnNzzaK873NH+P0ru8/wLS7G3llFW3vmtkKbGlhkcAtk2HlTUpyZh5TlrlqhI6S
mW5f0moA/+KnIfGfC61eeXwsTOGZndkUJkpYtpGHnTEvnoDioExRrey3hZ2tkfxBX5auCjK52vkE
wg1W6tOQmq6elB0iqjSvVSXdJIraf+0N+JAuL9jizNG8Q6zFc5uG03NzsaeEfd7mpmubCJPrzm2o
lShbTyuBypqZmUPUgObRgs3EeUWTbH0rv9YhO9xGZepeHs+S6xUoS0O8LCBxm1/fXAwdIBfbcE21
2xidsxcbMeh/WgVZNJ22aJCWyMVsfGnaVcPKbbu0eKfGZ8NU4I+UQVoayP9N404ewSzAoE+vH3oy
KHYl2sq+X/D2QEm56gzgT8itzU5bDq0mwZBhuMAp3g1TspdBgdU0fueTft9O+cr2f+vscVEG4azI
2yElNtssvWT2sVLlnQtnt0trj2l7H31Exnuu2j5QrwB1Sma54lLezilGUegmdtEUkdI436EjAywS
NDvoNv9elCaS4u21XH7os4fLO+f1UXQeOdCjS8xOWwS1ZV6n54ZSyQ+VMnY615461GYmt5EeDeNO
6Ss02FADIlNj5xIapY8TOT0PhdKNoqlXPE15oAu0q+iUHPLssfL9nW+110Z6NP3qmr7AMFA+Ofzd
Ms4E5rAzsy8O3SyFUbtZfsP/o3cNUmzx3gilr0idiZYJm98YJdOtE7WuFawMVlmYVYOB8vwFUsdL
WCz1ybWmyciKNwVwbiTPI3RCaHBH8QC51Ru6U+oPqPsikRaYmV5AK6b2t2Xr10iYJEQd+27Q9PYw
oA937NW+fgfdF6o49EIFD5DoSfnK6/mt73B4pxsUaGihfltmzZumHrg3BVWy9pwHL3JV3RnFGn5h
4eaijwvcMH0VovY0R3XRyViUjUza0c47C9XLxjnkKYItXaHB82/mP7tAba9jxJpuQ5MWvyY1/zJ4
heuLarJM2dqgqURMxMmaOOjNF0i3kovxs23f2dC5djdD9syNs3KQ3/gNg5lkUhW6BqD9nkNvpS7M
TPT6RI1NetI9sOeG8kjT/4Pdoypt9R8uH6235gxoPbGDTgKzO+8T9SpDyuGL0F1dgaYMLYT3WZy8
H4NsF6ndTSqp2v7V4F+iYD2GP6q8zn81/138tR85bJohhc9XdtA//+tjnvLv+R85+xv1/3j9MawR
u2/Nt7P/4WZN2IwP7Us1Pr7UaFP+k3tU/Mn/0x/+7eX1t3wci5d/+2/ffqZhtoNGtQp/NAtEqrjc
/z1D/P7l50v1LUnGv/27+DX8lpfq5effPlbh92/J3/69goJ1+Vf+g5tV+Tv3BDtf1JCBTwiC+N/U
8aYDayt9A6LORpMr5ak/3Kz63zk3rK/Mi4M/I3btHzVR2eL32abGPuPkGn+Jm1U+91lcb5TdNG4C
1YFKwX5ztTdtU9V9rpp7GX67g1HAHl+/6iRLXpR8DOhtAF9ioz8H/R6ooFh2hofYCJVbOyqMx8GI
6UuuSGjscSdydTXpUgPtt1Aq4DKAj4A3CwIGCOohZqC9ChvAVIzIQf0qeEAH7YfhVQShexVEKF/F
EcJXoQRTaCYg5oZ8ggU3c4onjYcdj0B1uO0bG7GFdnCCFj4WeoBhGkeiupACZ0IzCQG2q9CKqmnn
O3n0wwtgGimVMkxu6dnIdl6JqrRK+PCRMo+CQI7QjUihoM5/VIrWfpmyFN1fBXb1jylyij7ikRrC
6NQRCwWlDw0NKb3S2/Ta7Oz8PkiowkJT2u1VJbWqGw+6UijtQqWOXVhsQ98FvBsGt6MQ2NBiSA43
hWamuH9n6h4hoO+v07xOx4MtaXVxXbVDEWwbJZSbTah1+jc02dMSlgkNFC5gViVEHZyyw6Eygjo/
WJnR2Qc6UErjEcw1+tFxXfU/skGrD6FR+tXGTwso9oI2naTdWATN0a6d+iDXgtNGLZxp+mJOhfxc
D5Ye7hougs9OWWXaEYo8+uw78dVVU/u5i3aXfQMKufkhqz1qqcbQ2/1u1LzmyWvSBvmYvtHgUCnl
8b56FZ2pxtQ6xo2OFA3ak/1LL/Rp9BoO3E1CVzdQhHSAsMsxvwyhCnNs4CFkGKcvIBSio2f19W6a
DNKmStvD2Wgi61gElj66kRSpbDsPydQNauIvjjVJBEvhY5hVxj5okH5LhehOIeR3cMX5NTpV5TFJ
Qwr2lUXxPJWfQ22E1KiTzG0fmr/Q2EbDJw3UXRR50c5vEfdpZevZzH3WXLGKByD75h2SMd8BWkTv
GiEHpAlhIPRg2+s6L8uNJ2SDMktHAhGu3yuqlaEbGRZM2tA03jewVVEBQ/sAkS3W9Eqvgcdu9VAv
/b1tVd7PKBqr7wrqMMew6bS7NkPOEMUXppqUISrc3KTfxtxE/0itFORsoviqA+FzJQuZpAwe5EMy
ROlN+SqoNI313SSEljinnwCm258qyUAPxUybgwRP5TuNoPNILcu6D+jx+AZ+FvXtSiW6Lo3wAGYa
gaemb3w0JWR0nxzNAP8tCzWoXOhCBbUff8rtHuVQuTbvYqEhVb/KSaWv0lKlUJmSXwWn0F5FfApy
9wECpeYx1GP7uekq53nkZn40y2HM9lo7OsMuCc04u5Ja8J8b2BpB0KVVltypcOd3W9VX0O4ecyQT
S/QmE2TX4fiPYX/VNoqZa7+KPoufAl0OTUotkhLASmvJH8jZQ7RhdtpBbyoFkRXdk2+swf4yGp30
FS8jfRx0grawrKQvVuh/A/ptbPPWzg4Wr4R30TDKzY4OmOmz2ljRrSOThqkht3k3yuPwJZPj6E7v
pA7dFkv+Do/mmG7SoOuGXdgYE+i/VvsoT9QoN9bUkOoIiqnYIAvsBVtnyG1YgyUFls9Rla7asICW
V7UrpNNTKglpbWibAJx1sMG3TDcZjSrE6U711Ds4s9KoPGOr9lVSbZx2NE1EfCQL1TdvkINNBFfN
LSAvHY1MBN+ukUApU7zGFF5FUjiI36h84WkPF3egF2O86QcFKiTRrFfn8XUok1tjb+7SMdqHCbk/
X37WYaXdeUkgfdKb4h1J8PepA0VFA6w7CrvvyH4d4GTmIWjWtbXNSk3+gn5FfmUU7fistHn+C73J
9N42UsqMIt4EORC8G1W0DgPbvLIMFH4S1fY2duoEZE8zG+0uM32yB9WyNyGP9qsoV4Z3jpeiHcTd
maJghNho6CsBTNLogkYGzEqagkRTMjz6aYZeZYxEppBN9a/zykG1CqayYZPaSvUxiRrv0U5rFTq3
Tnro7CxEnVb2+1+GMaR3ZmPLd7neKu0eDQn5tvY9BTrisXQTr6bzSJKqG9DJDus9hcMz0P7GNdB+
oi076G8Sh+LLBnzQtTLFwVHyY+Wu7MIbBWWJaFSCR3oU03u5cRKwtz1b0knAEKEdmUFz3lSqsrO7
InHhgQvdxEyKHfXMCkI/pP82TqDJB+LdEo8eRY9Fofu3ip+rMpd3A0kJioH5E4mJZIeKRyGShypM
L52F4KlbRF76YUpq76lqi+Q2yRT91qxjU9l0tapewT2e7J22SYdthKghRHSweNf7qZOSz1Hlhehd
N36ub6cxkODpDWkjravuh88dOW1irRofCiUFVcg1thuGrHIR4vif7J1Jc5xIGob/SkffUQAJJBy6
IwYo1aaSZMmyLV0IrZkJyZaQbLf+b/3D5qVkaSRvrR5feiKmDnaEpAKKSr781veBaJ7bJmJV7ptT
qekPmymr09NxbBMozXQKpDQ4CBc5IGbn+CcDfBf5mkPRYxwb8yYAi8fC7KzjPoC6UtC2Y7uyWAN7
5EmV07DzsVZTPx/PLYsmC9YGIiYpCKX4fdNv4Tzbl56ysnfMKMutwBpfV3k/Hna8AKBCjjwNTaeV
7QLt5+dmWdNlqjhkekzshhGDRHQ41Qk05K2cf8Ce3JzDdEojoqWlNbgmTdtgPQEwC5Qi4A1Q1+rY
rZ8K83RkQXZhATQCy6lrM55onScRaVJ51tltdk4qSgAo7RL5waVSXwOGCyAlZql3QFF6RdQgXwCV
2xbU4IaP1Yo7Rp6uBMKdw1w5wf2Y5JhOwxxus8zyIjtHTiThcdk6F4YAxRaKBcKMctmYoD840Gbv
BzE0i7wv6LGEqnexgFZEeqkCot8nsoOWlUWxZm0XkEaom+iZuea57xmH0DtIPb53W7HhzsZAxQpo
G/8S8Im0OMSeKIG7miXZTZB0tkOPGbDQ1t422Eu2g0A7QHeeJd1Fw3JguXkBrPr/gxPkXl0UsX4U
nCyFZAIVs2uJXp2vKBFP7/8cidADFI5mDTwf3w2GihH2fIZY2QcYWDExNokE3yPd6gkSQQGJgPiB
idB2bvymLwIR5wClkADD+DPKakZiPcVpp48JIIR439UFnMOWl3UtA+0LFAgL1NNex+cMUJbJzmSw
5Gh1KSPa9TRYmJlfQNimyr0HRj0k/Ny6L66srClO3VopElFACvF0ADU5xCboeHfwgil55/W09sPc
UuMmZTWpYt0mpbczkgyUzxaq73kMwXewRzmr7XVejPWO+0K8zxBmsEXPCIZ1wLIyP9mlk69YBswB
hFNFhjkPi9d6xRFCwIWb0kaEmQnYis4q66pWJdsmTm8tRZEzFlHZKROJq6Jzt57o/eFDZmGSI6yl
AZo7lfCgMR2rAt1EhOGWx4nwneaSF111PznO+K4t2UNRmybQcGBxrYsWQ1yhlcC+YssE0FiafYkJ
Nbdzwy6l3gJQge42mCQiCyvVNIjacWp3MpPjmdOY+kykju9FVakFCxUtaQcI8zgsiVYQceOob1uV
NNeUJ/42tY0MBOXB3rk1hPVUYUCEKfAKwOhNRzDsIWCEJZHrlGrXJwWCP+20bgfSJCBCR5PZSTd0
ksorY+zpOdDJeWbXG7il+jDToq4inhr5p0I17RaQiXYjOMnXDJve2mBFY+NuE/nJqE1ylPYSCt81
zMillWArDQkwgDr0AemCWFjmGKECEPDIsoABCVtXUMSaXQXvBwxLYz3N0JNwChr6kftlc+EkXT0t
mZz4R15LZAEDjVbFkNdWQUPidHwIK9vu4Vd51s5mBvAMGtgEcH+xiMyx+2BOVrrmBHPBkZnCU000
pxtep+AKYqRsJWnBjpnjwcNHCTUNg9FhcVU2ljr0s4DuSE57H/oAzkARBjMfNtZzVawwdGSFzQRH
BDDNwrS3HFzVPu4AFIPYFh59KNBXYzesgCEjzloh/U1OqrpC6RM6uyLsC0zuxpTZAQbYqbwZOOMP
HC28cQWk2XvQeBqAfiRR6EMFN32Z1gla5CUrKfT60AgUAXElVihdaxYjnzRsnK4eOGAGUGDWfedN
kdvNPBNZtuUx4OCAZ2DjZXEHpebTvqrJFBujkS27nJvohU50DAapdKIhBwXtEOIF6RFRlgEvtWwJ
5joJX3bDCWLcCZBbZJqgY9YASz6mKAJqjK+Aq1w7ZgaJoDy9oUjtLkxJtti2wLVNpca7wFao31WQ
Pvw4Zq0Z9co9ylExXXQ2KC6NoSPNEqDJAh5cmFab3QyK45sZWxf7cmZ2kBDrTRFLz8fT53RFlDeZ
W37MsxF0kiqfeZVy8sLRkpcghqF0I1IWOhAaSbMaK4oXgdxwMoe/VqrqDFknEEnDcpqKI3xM8GOn
o06SM9sqAxDKDASd4BQg/+GVS7hr5DjPfWPDpnKICgEU+CA58OxF054Vie4enEyKJWEt2eiUl+tJ
B3LV4fpix0gfbEgvXqCJmazc3lRt2CI9dF/vaeclIKqnGgndw2xPQ5+oX20sROULbxR6Bfg19EXI
HqHezzT1idTtUTET1oMuyXbSVUCmpH1Rw//e49ghf2nosN1j2nlnWEvwfgFvnwQ47pNoyjP48XIz
YFEe+TPvfQqEs9V7CLyodPMpwIqMG7fwb70xmV31wqlPnJkhX+QmnPg9WN6pkiS0B8O+C7C04mQm
0NdpkMFSTsJZ5DOh3nTBqjcLUyz7mV9fBjX/lO+h9r2dTQ0weswMLYCrj4ss8G4txFzmAs26ZQTw
SHXVAtATTW3dvq8BMrgdmFWdeq037ArQ6H1AiFN23LgNXZCSAmjimqLBsGGFEHOCIPBVDjGTEbGg
HC48BOoqdLFR3IOUwE/yxICR0kg1RTLH8xr2ICSC2Vxqfdk5I7g6Xe2fGw7pzLA2E3ZJzRnEwkQ3
XBkeN64y7cBFS9t0+FAFqbfkfkVPoI5BNsHQZw+4XnU6T+bdBPAsyxBkI2RiBqHk7JL77fsAmxZ2
iKYHW4Qw4QMM7Y7jO59BmxkI5/7DhC69Q1oX+TU60FH/qJqsR9NvgzRNmKi2UJFdI2eAr6o/Qh9O
CzsiEvVOINNShyXSYynwx7IPZlAFJmwqzRFp0RQjHktkDVWyrlRrshhhjycPpcWt4waByEeb9iAP
2qiYjYeiyzvEYspnJEQTur8VDD0TUQmKaxt3faA4CComBAW1DfkzCA736rJvhUphGblZRmKSyU5A
mBsMvNbja6yQAGM+gBxdM06xK/Ygn59lHcX9x9QfoL4sT/XKHnL5wXF4fVbVQAyHCqM9Z+kImkhn
dQyQJJNuReP6J9bM/UOFCgEKVgEGR5TbFzCVtpZ9mM3EwFFqwRdi5BT6yBh3KxZsDxi09rBBBLIA
D/YdkjB0jyPM9mhC4L6BKUSMAGShvccX4luAZzAEJV16VgtGrrSrOp72yEMQ2ZyHNDcCNy4CA0Wt
mY4oZk6iv0cmov0G+MRsj1IMhhSbV63roYoA3EU6oUEfLQds8MFmpThrpyqNxqCyxGEtmgn8WdjQ
67xPXXtVYa+ojwYkgcfHatLfKg18O+n/qkqwvC+Pr/P75n+nMoBa8/crA+tG/vlH/ucfN3/+cfeN
EgDe+9nxBiMWVTaUAOB7o019dqKfHe/ZIUcTJbSZ0ErmIjv/5HmTAzjc+A2cYuhQ2vMgVVPqlv/2
KyEHaGaAPEMwV6jNgPh/x/UOXnveODYuykX3JrR3TNtFQeC1B2712Hxp5uulhGu2NNnEV4NDu11D
ONmJ0rrCIKsNCeekBfDGUyvDoFkM7u6wrSBpVUQa1YVIEKs4M6mM5zHLE9jHraGE2qRT1x1aXJNN
JVS+m+ARHYNQaS3qshVno9XUOydrPLCvVf3eq1w/Rvp0hqUz6xhzrOTS6cTStOUlhmCHcKxxOnC9
ETGbw0dVNVepJ3dKlWpTaaeIRqS6ESpMH+HpE/gLzL/0tYsKa0869CdUyRJYueZEV4gaOs8qQnDB
drCfl5jf3c7/c4fMiGhLgo5t8IU3Ye9Ps/aCGOU6TSUkSAPa3FDpY+sjKSZdBtsY1mDEI1WgJjc9
tG0NGUO0FRjXnNl8WVOBIUsKq8igPxcFnXaP04TzI2pX1SnGxIKNau25qWKy7YdEqOKmUwCeh8Kd
gM1G9vXYRdBx0RArjUCxv+m0gZGiQdloTfUH5Oiw9zH7iuuChwlgTmd+kKfxMBLyKMn6tx7x71b/
fqK09/kCvlnbe44g59+elgKgd+jrflEdfNMfPYWi3z7Qq2LhbakLNOOf3TNRvqYuztJbr6zB/pL2
hcofHUFe44r1HeqQdgBYNPo2MXj76y+yLBC673/u+QcQHyBorsHzjzO8uCff+9Q//kBf102/Ps6r
S/6rCukbP/kXh3nxyf0DYsOOoX0IN2B+vb4B7gychKGbFV/nF7IA/6z7MLc9WTC0b1oA370NBDhO
ey9tS159fmofzD0YWAGAdM4vGPt/3Od3sXP95Oe3vQMT4a+DJnBz/0IK6svnALMEAZrm9q9/4jII
9tPTb7ED318GzgESLuisQbfI/oV19eI2YDXgLjmQwbMe7xKsxVtXwxtMx7PBjLiQd3t7Ku6bF/0W
f/kHT8bn6wN8Nirru99+xRzZs1uy/8O5F+Px0PfPvRm/v7pHe8P34pdPhvDl2z9/wK9P/c2Levrh
SqCHQ93O+ljz9vH5Mmdn9Ldfz0Vxx1/6b3jWH9f6fy7lqx6S5+//R0c+1UV6ffPFoR/NyM8eesvH
m3v1y+k19Px0kfH++ovTPC7Tnz3Nv6bru1+21w1qg+r1CRx4eDDiP3uCNyawnxfMf/dF/DVH+SdP
8N83Cf3kid8Qg/zwDN96nJ4dkK8fsifH4ltve21B5r+4lffX6vd/AwAA//8=</cx:binary>
              </cx:geoCache>
            </cx:geography>
          </cx:layoutPr>
        </cx:series>
        <cx:series layoutId="regionMap" hidden="1" uniqueId="{813EC591-D910-4676-AB87-E939F84F21CF}" formatIdx="1">
          <cx:tx>
            <cx:txData>
              <cx:f>_xlchart.v5.4</cx:f>
              <cx:v>Country</cx:v>
            </cx:txData>
          </cx:tx>
          <cx:dataId val="1"/>
          <cx:layoutPr>
            <cx:geography cultureLanguage="en-US" cultureRegion="US" attribution="Powered by Bing">
              <cx:geoCache provider="{E9337A44-BEBE-4D9F-B70C-5C5E7DAFC167}">
                <cx:binary>1H1Zb9xWuu1fCfx8mex5bzY654FVLA2WZMtjnBdClhXO88xffxflpLuKYhePc4CDewM0grgsrfrm
efc/H4d/PCZPD9VPQ5pk9T8eh19fBU1T/OOXX+rH4Cl9qH9Ow8cqr/M/mp8f8/SX/I8/wsenX75V
D32Y+b8wQsUvj8FD1TwNr/7rn/ht/lN+kz8+NGGe3bdP1fjuqW6Tpj7z2epHPz18S8NsH9ZNFT42
9NdXf/1S6/Xb1z+9fYiDps3ioH949dNT1oTN+GEsnn59dfJTr376Zfm7X3yPnxJ81ab9hp/l4mdh
lNFcMfv5H/PqpyTP/D8/1uxnYmyhbJuS53/kX9B3Dyl+/HUwfn2q/rtf7fmLPXz7Vj3VNWh9/vf6
7zghaf2vPOZt1sys9sH1X1+BO+DbQ/bqp7DOd98/2+UziW9fP/Pkl1M5/dc/F38ALi3+5EiUS5Zu
ffSfJfk+zL4FfzHxfy4/pmYBaUG0/C4geiI/ZX421NbE1vq7ePVf0N/lt/lt1kX2548tpPTnn/6/
LZj/+O2OLerkL/2gRTH7Zw5eS6lhK0em9CwKyYXU6lQG/9bc//wV1sXw7588+cL//xjD2zaLHr7+
xY7/ZA3/G2bpPCT5Y/CnBzmWw4mO/6gqmJ854xoi/9O52qcaIX82RnKuzZ8fL4zzv/md1nXj5IdP
iPj11cln/8uq85+F+a8wtX9oHtzn+HbkZs9/+pd/XvzouTD5XchX3359pRmT1ID5/4qc86/582dX
/OTJzzw91A1+Bf2ZMkG1IkxymygG2++f5k+U+llJQZlNmOGMcMpe/ZTlVRP8+oqZnyWTUhibC5sr
yfirn+q8ff6I/6wJZ4i70ghbEVv8K9F4myejn2f/4sef//1T1qZv8zBr6l9fUfLqp+L7X3v+rtxI
SQFNjFBKEfw6fP748A7JzPy3/09Mk4T3Vi/cJmhvx/Jg1xfJcIiMuoyHQxl1jg4HZwoT54hHK7gg
egnLpeaaSE4ks9kCdoqnLKlFKt2JVDfeYB4CNb6eiPj9PAz85zkYPlN/RF04hZIlJpauCkLP4aV/
JzNBdqnJD5k1/XYebI0mRQxRkggOZi5o8rUYOm1AU19Nj3WXXZmofD0mxd9g3RHMs0SPaCq8oYmH
NpOuIdqtjX3VhNPt2E+H89Sssc5QwRgXmhtlI3s4Zt1oeDONepJuHKvbgA0f8mF6n/R17/ilDP8G
TYZRYkvBKP43s/aIpjz0Jh21o3TtoHvbtc0uUOrGDMkGTbMEFsrOj2Fmmo9gdMqTKqxBU6IDRyQX
egodpeN9kn2SycVkB26aX59n45pSHEPClxxDRpWXU1OBMtL6V8ouLisjD1HBNhgoXlImwDhuhDFc
U7aQVsarnGRRB8qm9tqbLNf3wrsfpuQEgp1SElixp6aigYzIH4VKwouxEwefjsb9n+EsdEG3hMV9
BxwzFuLe74LkwMZwvO6CtNiwWAo3ulQI0IQoSwySMrjbU5pU0Y6j4L10C+/3oD/QgLxpUuGw28ba
BcV1lXuuYtZuKA9p9qUnwYbUUEGdg7cX7olP2uRTPEjX45nT0uBydrgp+dSW7S5JtMPqDRluAS7U
pPGTpA4EAOvrhOxNc/Ai+ZZN9T5P37Eqvf8bklQoEZmBk0coPeWu19cmSDSUshqSwbFI8qFUwVVV
NG/O46wq/xHOwqwNtbJuiFvpWqW5TUf7Q59ZG55jLU4KeoSxsGMdWnUZztof2e1BDiRxJRkv6rJy
ZZ85nenugkI6lhk/h2PydJ4+OhOw8FuCCaQJcMe2QuJ4ykhaRGXYJJV0R0885JwMO92q11Yn79Mh
vpk8eTVy9hvLK+rIzj4Qlrlpml3ENSkcHkxunFU3iYw3rGdNmYRN6Zw/2JqahXgrj9YxjzPl1jz6
Woo4dQZvdMoo3VXzf+hKf4zjDTmsceIYc/5ORx6c1loPwsuVG9ht7QS+/ZQ0/EsxfYxZvRVo17A0
1cYIiQQFUfAUK+jkyCTyOVdr70s7sb3Oq10R8k92sGEos/Is5XuMNH+TI6q4rwz3cindNBxfd2Xn
lIruqPUJIUr51v68Nq2JTTOhJZJPpKN04QN0HZOI5yDLDsjrwBdfvFbu8vAC+Z4YPVdze8PLrURd
MI8qqK9BPSMWetKGg+xobKTL6XAYRL0j3s1QxY4MI8fUFyqTji6L3XkqV4V3BLpgaYUMSSe+RjJm
+GdSDLdDwHcTS+6Ksd5g6KpvOCZw4RvEpBVLaxDoJfZOCHOfZ80lgVXGkXHbMLuzW3/X8ujAclX9
LXAplSHIpOlzpXCsO1aoicUtJBhjXFy1NEx2maLWFbOLyJl0f5fo8F1M6F5SZb8WSR78eIIjNAi0
FRWGopxd6K4OWpFbkXIbxt/EmX2JVO7i72Uf2iCrhs7aMIeFMRqTFMMoEuVOJt4XCbsgY/k6KbV7
Xm1WjcMmQEEOL9HOPaVGJGXTpl2hXL+La9Q9H+2eZDsSsvdZ13zSejeOqtqwj1VVPcKcw9uR9cte
sHCK4NOmondIFuS758xKhY5Mo2wDbM0YDUdiz5XWDDXYKRjc2UCkVcMu8ndR1CLJYvtkDJ2sThwv
zx2/iS4n6+o8V+lMwtLBHaMu3LY0DentOULTIJf7tOO3nkk+9LpPncrK34Y5aQ9hTD7Wuv3cET9y
rCLYB6T5msuU7bt02PAOqyZr5tTPVqh/9TJfHiyq63yE1QjrU56+QclLc+8qaD4P0xdufZJZ9lX3
G5ayygRptLShWIgcCxUmKulCMyGKa6HyS8br8FAN5cV5Vq/KFxDc5ujOC7IA6XI9WKyYU4WwuaEJ
/QLynwY/uGhNND7Sooz3qmfBZSCCb+eR18iDE4CYNZdcLU2nH00U1VGv3FZT3+2q+L5JGN1Q31XB
2TaDwxG2beznjP7IWPrQV1KW07MfuPJ9Md3Udvgtyc0H0kflzhL0zZjqfZVHfzS0oBuBeg5VSz1G
B1dxIeYAKhbOLiCyToYWNNLgdzoKtidjsBtzayt6rfBSzv5conRkBFw9tVJuS54kaafcjhYXNAg+
RnCs58W14nUkmTmplUHNuLSAtPLSvpwC5Vp+tDMk/sDqYJ+H5oIF8YZOrnDtBIqdUpP6WUh1EyqX
S+tNJ2s3bFThRLFfb5j1GhAVBGBorUINF84tymWvRIMg0fil5dq1f1W2TO+3s4sVK5NwochlOHAo
mb/IkRbSoW9tlDcK2cVdOD00QbErde8MU76zNJ+zqTHf0omV0ARM9GIoRyn1Mh2tJt9Oo1a5JPks
knaHjsXstvRdx3w3KckGL+kKM6F4RFPK0YGUSxoHYWlSBfDZrVfvRVXdtAKaooKcOlmfhJeWKbxd
0yT5hWHxpbb4VVzG+l0fjvpQZGOy16zRO50mG9q0Yhu2ZkQ9ewDOzMI2+sGvartAm00p4YRiYk40
+N6Gn1mxDlsjnTKKKfRI7YUbldaYpp4KpDv43D7wgbX3xZQhbxVWeMi7zmxwe5Uo1MlU2/BrZNk7
DPIKtbKw0IgoAr2TvE7f6ijzNli3JlL0OuBYMBZEGFpQVWRkmhqq0NOr5DWM8AMb4qu0HdzzrmVu
XC/dpH2MM1N7ZB5WlTEUzKhnLHt0ZtX0+H2Ykn1G5j5baH1sJHHQdIvJxeTdnAdfMc0T7IVpVnnS
NUMOGnkYRA6a2xd5yT+NylypLLoyOv2SZexamCnYYO7sXBaxwTacKIreL1qZy8zKazvRo4ejXBmk
h7YdtROVnz0D+qPUEWN9dZ7OVVkewS1SqsHOutrK/vTfbIq+CT29GcKt9H5NMY+pWkS8IqdD4BP4
bhqN8uAlHnnTxrn8ep6YtUYcmCcIJhpc2i8awD3N01hmqCI6rb8OWUYcW/iXZFCusZSL0vjRrqlr
Bc21QLulyckNuHpXiXJ//ousOFnbCGKjC224osvAq6I4RaMFXC071E+t31xUtX8bJe1nq7IqJ/XY
sBsiupEZrnmbY9RFgGQsh2EWYHLr03tLx9ku9spk56dJ7uajF284m1XVkRS9JHh1ytTCRMpClFke
xsrNdLovaLkPysppSP19W+L7ssTb76p/PFtatUTkSBpyJYhXs8EceYGkD62eJ7BEKRPhxEF+MQb9
Pi5Kd2Leo6Cdg/xO7IqRFu55Ka4qLTpSz+F5jpmnyHootC/4bIqZHHZeE7dOr6Yv50FWhXYEsnBy
cerrsZIA4Z0SdzRK/Ou6zqZdUOfTHs3m/nAeb1VqR3gLqUVWEhVN5itXCetD1FT3ScgGRxZ5tBH7
1rknEYyQFcIaFgE2Ik1vJzFsEYHxS5dNF0W21YdepcW2OeeUo79GF6qRC14Vwh4QIMJk3wcjhMQo
NpPqtz/OM3Tuvhe7aJIsvFebdLpA8JZu2KE72TGX6vyKW9aP59IYxxKjGUo3VF4LcpLB9i0PSZtb
dc0ttQqx00H4aDz11Nr5hm6vsQ55GcWcUWmbLKVjoVHQDyOsyvL0uzC2nLwQt5mdbcCsaTeauujY
SdSRVMyfHxmvsQcVwg0jVWi9O4wkLLS2MAYZEEfPi2hN246BFrwrfV50MuHwEs10ZYfB4FCR/3Ee
Y/4dy9B8jLGMlaxEhzWDfGqBZiOLdXOtqulT55ObUJef/UB2Gza0mgIdQcrFaCcoY8atCfybp7SY
qyNPR7YuUGPN6XTN7kR1O5cKPlwvk3+LpwhgGK9rYpYpMhFFnLXz7Naqx/i6HyZzkHEWbqjIc6f4
BVsNmnJwtMiRlwMAqsOwCzXYOnZyLkdaEu1sPbwt6ROaydgkQPufKMupWLsh0FXtPEJeaKeQAfOw
cYEuVpFesVL8VkX2vVdZbk67p/O68zIjUARstCWF1Ql7yctx8EqP1bZwhyBGW2MiqaPIeNlO5DLU
nDj5ZO7EkDQbzN2CXaQERdj6PpZAhOvHWBNyMsHqx8KmmNhlVXxd1GN9y4OwcHnT0K3i56VJgmTs
JiltiPi+/3Ji+7lkvokt4eZNch80wdVIaLxhIC9N8gRjOfrMufYpOtfC7cfmXWB7N01Pd0Hiv21U
8lkh9zsvxZW+0SneIqhVPvXGhvoYkLMnmqudKcfDXPnQKXJ6Zna51VyPakKGd3seeZWZNtVCq3nf
ZTkEVR5qaOxXQH+0paE6ltsVmPCcB3lpD6AOKgqTR18KEejUW1MqBl/20JYKKwJO0sq9VepDL6aD
pVprI31cSdZnNKNgEYxyvUySmxLJsdeApCYZxL5NsVoTZuGh6+va8Qr2xe+iD2077Buf743St6yO
v1VTIPfCNBtyXVWjo6+yMJOaiqCrKilcktNklwZBeqUbPl1rPdUXpMmadwXv4w33usZtir6Z0GRm
wVKk1hAIFmOVxe374hNyjH1aFO+N17wfdHf/44I9hlo4OjvK/CrBkpira/lFjtPFXMgSz3uLBG2j
CFlT1DllpsZWGOMspZoY3nI/F6DK1+/Q4DrUYbW18LAmrmOMhbjarkP/qGbCDVoSuATtYV6ancpi
5pDaXBXYwTjPP/ki8qMRfUTU0jDCGM2/CPwrBLUdX7T7ri3TvbSjz+eB5kzyNBZiwY9ghoZeqhJm
2f2uOr9NKZZJXEHL5kNgdHKXlFaBPnhQuJVKrH1HBLvOe27fR2XRbdjBmvAYijm0I+dx/DLRbVhY
+Wykwp0UdppiVAf10GwoyDqJ/8LQi5QmLRQr7QIYwuK7MgqdLr8bsBPT4l+xjUWDyqGl2J/n66rj
PqJMLxw3Eo+GRRgLuhUZHUvSPfKKNPtkNKrxrnSIT/begFHnj48zIFCUJrBvLAep5cAx82Uq1YQJ
UZiMyVXO0nCH8U39d+Q2j4QMNdjwWKpNM6JYnAqkUKKhaIvz15zqHy7DZ0L+DbGwuTyPqjJiSAab
tPqmrP6NKHXuWLzYdXnqsjC8Jqp/8pncqL3WvOQx7sL07MgTKZtrL2vg163PP/txX7ncarM9k93D
eTVZcywMlygcMz3F+FL/hwwd4y7AIhea440J75Bu53Z5Tcr3zdYe3Cpd/4ZamgGjvqmF6EBXN9yG
SfkuasvPrV3/3tB0I6yvWvUR1EL3hfCs1O9AFaJq5eQlu4qMXW+ArLnII9bphX5EXKbFoABil+yA
NYfeqcumdLBLtbGmtQW0UIgyt+1hzFD0eyIhbpqR6yFIMpcm9kbKtQ6ECR2hHInsshzPi4D6epo1
fkhvpzZwW5neVlG4Fc22cMxp1hXB0zd9DpwCyWNZ0HcYR36Snbk4r9tbMLNfPirFE12QTniA8brW
sUf7WhXlFTKTL+dh1kyIU3QxJDp2WCufv8YRDGYDIpcVxIO923d+abf7MWNu4uWfKQkucXy2sYu4
Zkd83omfB9Vw4AuyPO5NPspH4XZ1uYdHzxPrvhrQof9bIYRjaKawMc+YXtapgd11g2qRBPiS7Dok
pii/q+xQj7+1SeYM75R/Y+mtTvJq4MIKCapvZbDivszJJ2ljus8RLiuaXYx9c83r4GFm6WSJ0umi
5AkVZY6cOLqsQ6vcsOo118ERtnB4IDElX2ZzJAgqjoa7QFCJRqcouDPyPN2oBFZFeASycB3CtDGO
NZAIq7is7qOYJx9yW5eh01u55URNIjZiyoqOomGIgSviJQFpC4coE4+RqsW1QtfEHXHqrCj2CQtS
J80K4ZYDbw6GV+XX85Yx2/Eit0NUwUxACWzMMDWz4cgyKlkXrGsr6M9gXRP0eWNNrpqo+m2M+dfR
lpcqZFu+ZY3SI8xllGksFTd9AUzJArGzCE//iEcy7UN/KvZDobLCsZsgcM9TuoW64G/QVnFM/Bpa
I8I3SVa22AmK3Rb1apdw35kysjGtW+khYcoikPvMi/nYSFp4ARn6lQkIhJfX9oU9BbfcpKOTYpDl
pGY4WGkVXqf10F3yIoFepTLHkKTfSJFWunUn32J5J4JGyoid/FK4FDsJht/7FhaTssM8x8dJTECd
Nv3cq8iRKtrXPNkwoxUHj4wdMXjeoMM+0iIw4kYzLac8EW6WRXdqiKMWVzdjdWOpwf744wJGiYLp
L0OV8GK+VXa133hVjG6E3+7FMLzTQ/67IMlFpMoIkxI73KBtxUVQnAgjkUYSL+AHT20nLoe4sg0A
s7Teo519URXtxyHPkQQ09+dpm3/VwkxRgdlYCcCGzsupj0X6tIjTQLht276xx5juag/79LPvg2gv
I4t8TeKJXmBEnG1VKbNhvMBmiqEvMmvycn7fs9ryeuxAuBMcvLarXW8NrvLyh05nu8bzP+q+2ldZ
e4EJ4mXtF+HGF1hhM3bK/oX/HIyOXFSTel1Udr5w0zq9CXPxUNDideAFb6dsq9RchcKCl8GCDboF
yyWCvE7bciobSDSO3k7jp1Z1+6AN0cj7dF6ea0AUjVdjcFSFbcyFWRR66I2ybO5a1pg5YVq+nyOo
sqpd45NuQ09XfDzDRg9BEYb7oxcLgdUQtI2aoDyl1d2WnrUfUtsVnoI7MP4VKvvDhE3eq/MUrgRp
gOKqgKBCww3ewjiweZWyJvSgNaLZ1b6ZHLCC/3gmcAyy7LTaWH727AYg5VhddQUWPzz641UsILCO
B0IoMsc5rBxpH7EsE2Q+tN+Kems3Bvxax8XfqFNOQBbZthxLbP4EACkEqZ2Bt49ezrBZ0vx2Xigr
MRCRHs0cbuP2TS5zjGHIRGbRaO5uWrlDeVxd0pFi6XhUmcMJfyP7zt4w31VFgGxxR4GtJb0sXxXU
PDEjaKN2VB6IlT7g+G6rrb+WkTJ4YhyWYv0Hk9eFurVYv6s6CyhDbl0mVUqcbIK6KVUMu1Ikd6Uv
jFNYnnASU1x6ab41MVo1MoQ5rG8abcN/nOpJh7qyCEZ4Kc+uMa5prrp6UHui0TkSin4ciu6KYld9
oxxcxAVsc3zv4aAgxGXcC+bmWsckrTBhVLH/QCJYmRjG2B2DRx0BPWe/l1liO0PG9YZTWXL8OzTG
cKhz0C3Xy8hOg3IwXobSDclEWvNLbBtX8jdTdE7ueztv8PeZGC65/e68Ci885wvYWd2O7DGOU1zH
JCjltJbvLX3wkJ62dnCRVtOG5a8iCZwwCyxdKrEs4lLid1nkoRliinDHi3HcJbh5SKNob/VUbniy
RZ70nax/gy1nqslIYg+XZGjJWf28KnOJC3rUi3qDpoUxfoexcfeDYI6O0rJ94KXlUGCiCX1pzHWU
JZ9Imn4+L6A1SjjKMy1xtsEw/jkVUMg6nIHPA+kWZbZF6w8t0dc8whXgeZxVBTwGmi3ySBMy0SUV
rQDU598GHTqhTS6R1U5NfIAuYmYr4i/pjw4QnzmIw3W01NEPR4d2gUpjb+TjUMm5YLprLPN+RKF7
nrI1xTuCUItm9JDl3M4kIEga3KMCvDN9eGMacUg88f481Pxtj3K779Qg19EU2Y4Qy06wsnLsKGDn
3a2Yd+GPz4fJe7tRsSN6fdN55e+RHJ/OY675LH6EubDgJPJQFcCruIO8zKza6Yo3iRDYFvhN+OS1
1zzpq/OAKxqJLV80KnCVj+uX5U5Y6AXa8pQ3t9krBxuUjl3Zb+K224BZBNeZlzg8kbj7l9iYsZdL
xaUMoOUpBkCqeixJd8ApGB5A2GMLNLCtDbmtkqSxQoYzD46cbhFtKi3bOFRoMLV2fPCq9D0n4evQ
xFul+hqOjcACT4Pkn9nL7Af7gqmdwF+MtULPzMPdUGn2IlZbU94Vx8Rt2BQadAKVxlIR4YMtEcUU
VzRZu2e9/VtN1bfzarCsx58FhECFmg3WJeUy6YZWNzFt0bVqvPE+6eQVDkoaLAd6r40Obkne/qHy
BGkRWOn745dUeltnl8vF8+9fwaATiXUqCk2cbePIZ3mFyTA6Q7tu6LKbrk+vGUkPKepjx7K7zxMz
bpAF11PafCUSq/CD2Wf++HrEZB0rzxdIa4YNL7rKdzy2AeEiwr0Y4cfKHxJTos1ls+pdXLIHf2o2
INbsYh4danSZkBctm4W+X9tqiia0e0JO3EB18quUrf+lbIPwdW6l3mEKevvDhrBXPJsgeJ0E739w
GORytpalpeRehtlaghHaTW/L+GroYrXr+gzinfIidDwRBY5ds+Az0Yof4B8zuD2W7dPSmENnRe0O
uUbllH05OKMqm5shsaVbxunWLt+Kx8cJNMzY2BJ6sTTntBo7u6phzmxOF61Ppohus/jRzsjhPFtW
xH0CNH9+pH+tlUUir7HekAvzfhY39Yv934FQ2Aqx51b7cokv4ZmyZG8wrvW6Zjd42JtKSLmRfTL2
MnChmkWgwPMdOBhZ2nKleNcFIZxtXtbkQ5qlzRusTSXlLui6eGdUSG5FM+UXVGD/jYWyc9HGoR+K
eMgqB+vlzY7rwuwbewg/B4EtXxeoAH/Xvcod9F/4x76t1S7Runs/+T11+mTQGyPnVZkfUbAQBQnx
REyXQkELpj4PXYNufZ7eczyxt0uTrRH+GhhqE2w+zfWJWgqla3zKqgAtALyy814N7HOAdYG6MG9M
2G2MwtbcLFj5b6wFYUGU0rpvgWUK9FU7Ji/DLM2cSjX7lhVuwPw/Jlzxz4+FmKT8VLXdxXkNXCd2
fvyHwdGS5y94pOR5hgCTEVS5JqJv6dS9H4q42Tcldpejxv8bYGjNwbNLG8cRy+5Y23SJTkiOmwwj
JofE5qqHGCtpLqfNC8E1n3aEteyEFSqy08wrEY2lcezu4Aejg2u9aJhc7Ao4Mv7B/socrvBozfOa
LBIo7GCcugtLDiz0+gjJbmKuvZrHECffmHusEYXjCCxkz68lIUacYtQ9t+rQT6SbdeayJfwOeROr
I1cV1fX8mAxhG4Cz/i1yXmS6OA+QOElCr3iZOw2+lYkSl3TYVWPXqvXIjop03PBQK5kTUBBZcfaE
GdVy+4H5VaXbEJfPClfIvhoek9bf86rdSDrXdB0+9vnWcV7jXCQUyJKiMKxx7zCw4EY3drubVTDL
48soC7a6LCuRXODBCAQoXIlys9R1EoxTpmOcBpKkFLdW0kYXkfa9q6TNoPp1GLnZ2AcbjJwpWIpL
IgNFwjT/s6QwThOfpgy3CEJl30LiffVM5jl0GC6G0b7MI9xaBBzLolh+2khc1kQo55tEOT9K9iLJ
Ljpq9cF8LKCMv6sC+skP09zxxmljRLMmQzzQI1D+4800rme2H/mrtOzj2O9xIJdGdukkTY9phYnu
fTvM3KQpDue94xpV2O+zUWMRFEXLHuCUDVGRNLi/jZqRHYwUb/XUGCccwmojwi1HT8/uQ+NlAwnb
RkBYWlqWxHr0kQa7vaU/cS+8b7BI0Mfpm2gYf++y0uV99rbpSIwzRyzHp7W0d623dRC/SjDmFri4
wXOhSAoX7J2GxpsVyy2b0XdI2N1VrHg74p71PGPXxIgBPMrM+bTgRS+uHDLllyUOqMnoPSQqqF1r
7C69HA8BeJb54zzYGlG4XYPho7WqX9QydmGlcYUtLrf3sGVPGnlZNuQNhn0bMlzBkTgYw7qi0eZl
93bI6ZjEiH24/CvbrzThEUbTeVPyfVMk4/vzRK1wUCP5nWsFPCuIZ6tOJdX7ITzmVOHpt9x6jQ6T
vyMcNRhCx0WtPX/DvNfQDA7F2NwQx6tzC72Y7Loh2ku0y4uUfcD1cX7V482qOxk2w67o0fnbAFzh
pcYGpZrfFUa5tsxZSZ0PHoot7dothk9OIiz7JqyjKncM7emH87xcbjLPxmfQi0Dlg4VXpZbMRNps
8E5KbVzDfe+tLTumnLZU8iYMB4VEJdex41GlL60oTD4WRRNUO9YW1Qect8af/CZWb4c2NdXGasxL
d24wxERVphnGbPhupzIuWR9NmQix5qDY2z5XrcMnyp1i6t/Mkasc6s9VEr6HS9zyAy8TjRNkPpcU
R24WSyMd6wXGtXOLgVTeTlrTHrs1F8yLb0jN91a7td70UsVmSNueS19sAiw7T35YhGUXIROdaHQ5
j3UUC90qra/iwHo8L+81KPt5R5DiX9jlOKVOUzRDcz5DTSR0UtEaB6fjreMHaeq0WfHlPNxK93V+
7wiv8ZG5a4BXPk/xEtKkisXZ3EzhDvz8fvDusZkYcexVcHobl3h/JXiXMGsD+GX2Bly8Gop4jHk4
FrpOcdMpU1XZpkju89i6iNCRD722PpynbhUEixuYJ+FITC3bXmEdJjIaABJY2e8ypfeV3/3+P4HA
8cQpHWU2hCGu0LB443tfiz79QiuzNbpf03gcjP9JBp5WPcXoWpWMPATG8wNRCHjK4D7LTLvQFHvb
+9Tl784T9dLDPd9Tzy+n43l1unwGhosx9lkNwLxNHVLQ4I6iv1XwqfzhsGTgQtAswQvuuGBaDp+w
14wnTPSAQX2Cp6/K6NILY6ePtmr0WZlOc0/AYG1wfsoVHnTprGLNfS4TtK6qMcYe1jxU8IuvJPgm
EZtSpRF4t3LsFdXDYptA8KMY0SJFO5VZI+pc52j047VL3jsGqzJ0/MG7HYQGkDW3TebIgFCz0It8
IiQlEU5qrKb+UDPzJtfW1rOnL2uFGcPYSLvm1/2W/iEKm7iY0I9w+wxvnuqiYFhVlblTFtN+pOED
y6atXuaKC0SiCa6h6IJnWg7smraM7DxHcys171Xj3aCQzMvqYzNcndfyNa1AoQ+XjjshzHoXIioT
4feBxl5XoQK8Y2Vf4zbCge/rle+UUjt4Eu46iC7Og67x8xh0tvXj6FXwtk/jfI6b3b5R6V6N0W7e
Xhtze54x/A20+Xwejh1LkMtUxTR5WVi4eMAIKklvoyrMHdl2wy6MA4Gr3K5x8LxotlGYr8UUFFpz
NYvSee4Vn9LYimJIucShCUbaETYBs3IXd9Nvc3nXmuI3fwprR2dkJ2N6oCzZmhOtmR5TeH4JrUA4
ZLGAHyeKgq/EfCDS1te0ps2e+om4PM/ZNSXFPsz8RAFeJkIAO6WR8nwMPD0/21xWaeMS3kb3SIl9
RM2qclmNGL4RzNbUFf0BjErRe1f4v004ReRNGdhJhUeVYY1OHD7xWO7DQuz/L2tfth03riz7RTyL
M8GX80AWVZosWbJkW/3C5REACZLgiOHrb5R3724bbd1azXUe7XZDUDITSGRGRlhcCHgxFSIL7zCd
WP373xMvTMASTk0xeNKvP3U9cfJZxkAqSpDJ9X3wokbvCq8zXnYqPpNU/i44MCII+OyJneQfpAiC
J9KGKSYuwyksu1Pq0fNynoOCze+R4Z8Jxd/5yc8/7fTffwrFjeo6sxiiwcMhf7+N0W3eZOc6Red+
hmO+vq9jb4vxM9rE3Ki++SMn25lw+73RgE9FqJ0qVc77ZwK7QpqceIAmRb/RaL5b6dhc8CC6DBrv
mhB17v3z298JgPEUjzzg8H9Qwf5kt2AAkbM+kYinHQ2qVUyHAcRqZz7ObzoDgIAi/40BZj6VoZ1f
y/JlafgWw3LdRLpLpWV3Qfw6QmE/oey9CGTeHToxi7eq3dhHOylwS07d9Dx2JPtMGM+ePUz3bAc0
zBNRjF3L1oPMx7UpEzLpx9kzzBbNyuh1Mi/9bd5PTVikZmnP5Di/MRegTKiMAkMHSJGL1SCYZuw5
QZ98GZBiEzCK9qJLz7xJf3fmIh9Ajkt+FNcix1zCoPSZBBIl3twcE0wtFJmihxlM0X3SXK/Dmxpg
AJB/FTI4cy795oWKmtepeY3fMMfddnLQn/wBXbsUnEIoZwu1DrIILRrnGWuMPICIeD1OPhoiBbVj
4B28fAqAVI67eCq01lFTTHHeXlpkUI+gtVTf//+HF+iw8LOdzA9sFxgSR40MGYULX6Q5scD/oHzr
xUS3SJhjKQoAntJPdE7npeCkCb1iXVaaFXzq0kcUQs1HS/h0gwx4iA8gK1/eySyx03W6Za0qlfYb
/2BSSCih2NZT8BeH27JutpDGZq0u9Bx5D0ksOBrgmwb/SRMH7IoyXz9aw7tHw/ssL0Be0R4ozder
PLBefjB+YyuWeOhwZLQV77o5pg8oT+l7HfqmmuJeX+Vt71VqmfTlnIGEsxyjZUM5dZjB6LauL7rh
tqpT2b1Ho5ZeKnAsvMu6tH8ASi79mCuuETBkIve4ReKnMGL5ARzNFONARvaHyJ+Dm8DY/C3areqz
BxZMv/RHu33ykjq4nSLPvydeNj9znYcPxmzro40D3v0x8m2473stD2Hb1exCWrtqDGipUR76oVP3
vUdGAiIf3g6l2AYUKZnHR1O0NsovAzXEj11bb2VOGTloHCyqsglwTTctuKPo29a0kzpEg0/MgRie
hmBt7jJ1g1p/GpcBBo766zVsRFeKup6/N9hn9D6VaskLf9K01BhPa8ut8R9pvQ0FgBBqvJFJwP1D
yNhyHKbU8MeQmHUrJ8HkhJfw1L4Aj6o+bTh6DiJrhrCwaxre67E1eOjx8QuZ6YiHOeN+kbb+9BzV
YRuX6dSYqmaUHwKukkfijZ0qGkPAu7fFopmqjMsE/cgw6b8vkSe9gnTzetnblXSFBK3r01CLBDxE
03qRDWCpbha/fw5Cad8HHQh6I8zHRIUOKcAiq7F/bCEZ39ap31fjkLA7P9j82y2LVzSfmZlnkEMl
QVUPcK+EquY5ttbmh9hfs6YwIU7dapm76SVQGDWeGtJfNioUF/6c9ehHKY+Gl8uwYXZVheFVTwWq
EIkXtN8pCnllM4Hsp5z0QAKgM6kkH/pu7R7lusKwGnsgT2jAbqQCFaIRcNUZVIdzO7AvPKTj5RqS
bS6M9lR3MbYR+Oo0jW+jgIZ4ZoZ9XIqFiRu0CTgmgxK53Rrg/u8Di8GLMV3jMhSMfErTBiDQbMlm
ecdRlmuP66DEVNKk3oLCw3hxVyVTZD5DroF/C5Q/wHjou93Jmq+F7WJ619QMqEDd5E17GM2GSENu
8tjXUdtdWRV0d6tK1FR69RJck0To+4BsAfhfRtCYWymCAyf59DzHxPsEKBGc0HYgyz1wQBlFIfgI
PFTqeUWrLPPBOy7Dr0TVw2kC6FtMxlFeR1HvP2EueUZ2LowFxSxpvq0d8KCX8ZBjsi2xc8arodbx
ZWJ8VNV7lqtCiC1ID1Om1+RNL5pwaYsJpbrnWCVTOUSGi3veJ0bJQmNE5xKGni9VN8/5CyIo/9J4
UbIcGGtnMPijz3ox5qQemyKgZv7a5426alAgX6/Au+8XRM7P6cYj+c4DJMCv6knNplAbdlZ6MkzE
02T1aI5DPccJKq4kezk5y9MwbG1fYDVflRkBinYM+0GU89wFmB7JcS0UzaCC5maWcnybbHr63gsP
2MnJhCY/aiu9t0CCGQM23rat5cGC1mG8jlOMAF7Fplfz49wwNZRjqKmtUCVdn5qxSSEG0xqJqmid
rOmF3wR8uOALq8HD3pv+WjSj4bcAeKXxoQYfuDnkSQ+diHW140fO4wgMETVv3lLQKdX3yAqm6Dqk
eNC/I/NAxyPvSPosyNyxwySpuWswOf/BN2ttKlD8y+2gvBacyNO8prIyYu0SDJVwHGSx7eRNDcKx
jxTunl6wZNRjYeMk9spwFsvlGiuAEMF9q/NLNk0EkZlQc23B6NReiX6bosPazNMn3YZ4XPFs7fty
DNpUliJdE422JGixDkhqpfeyouO73UIlcGjegBReN4eVrnosw7oGrUiDXCQr1jSwAPaLpJ5ufBFE
sPAkMlP5ZK5pSSNNn1uaoVcmtm25xvi+Bu5uaujbfAHbSikXm38jmVzAiqXDMmctRhEgO9BczUO+
vgs5QFolnQzpb7K17bKSMTriEMtDPV9qSAldc78LRcGpt0WHxAj9oDZfRtdB3K64MJAAfl1jvuBZ
HHQfWN7WtuA8CC5yCvuiyaRvmiCb6aHtx/orEsZUVz2blzd2CbyvCvw7p9cY3d7ozutpZWctHpJI
8Rf8c3GIa7WAZQHjDVde4/FrO6X4DClr731de7rYotb/xpq1LQg8puDWduWa8/YKw/DsdvNWjx2W
JRqPabLUx57wAJNgCuzYUcs/Wqbbt3lv/VLWdQMD8lmDx4mzMqoX7+iz0KNFYGMzHuO1i16WqRMX
eU8EHsZ8ru+TTXSHgWx56Zv4w8z5VHVxcKRjDZf1eOXXAzrETWJLyDrUb+oQwLdptkspW5J9p2tk
3/BEiSKLvfn7NvVBOUxNhPR2i9srLrLhi8AIwTcxp9kDAYfPS6eCtMjVCmJPIMKPUWq7p1yOtqAG
cIhtURHwnXH8NhmX5AElg7zSUIq5mrVuLhaq52r2svg2TbzhZujS5CpSpCWFD57syreif55ObyCy
9XMZt7n9jo6iV2aGhx9xF7W3WY3mybCk3iHhuNE0k/o6n+jLNCTDoZt9XvFBsUfadrKou03d0RPh
wVRn5iXwRlXiRcnvw1711+0S9ZXfbxeGjVd90n9Zogaju5gVOgQDnT+hauo9Tn16i8pZXBhff+Zb
U5fbqfpd5zQ+5AicQz+SpcJRxA5zW3dhQZiRGJfqPw4+lWWnaX6JcWf+ucHldtwSZt6zwOqrUazk
oV5EciTTslwxqgO0hGbcNRhNbA7SM+TGjyTodYTfHnLl1ZiRJqoYgag8irRWD3Ee2uttzqBeZOpc
XFN5/LJAraPIMPdc5v7Er5YTu7uOfXXIjksO6ocyVS2kETijN0EzybInyBHGro9wSVL2EeXNvGT9
1h1NntEKgwAxSA7H+HZj81ikC5KrpoWDR009HRT6RwXJ7Aei9VAZmW6Vz3BrYkys/zYqPz2wLP3S
JUt+4K1KDm1no4tw3cLLoI27myQ5MXv0IryMtiY50C0SF8ilWdnXoXnMatmWsOB4ZagI7xI5JRdJ
7cV3aNrMb7cw/EIG0MsDrznf1xuZ0dtVyV2OwxIvzQzpz+wHFe3UhTJNkYNqw6jpu8YZcrAaYwpa
q3e1N6HUReIi23xRDCZLj5jgDgACHBWaAEzcmnHqD9NC6TWip5UFQJPsZlXSwwArUUe84DxgCRvA
uFpCh+tOLPVFY9sEwR8vpuRL0Bxjmosb0Yf6Xsoa3ufBKRhHN7lgfeRfprrHdN3qCdSy+crY9zWa
UoAyAS5iUW4+g6tsOswjkWnRCgwjNfGcP+a+De55vpJ7vBbSa0gx9MdO+8m1bHMf/qPsl1VG84fc
bGO5piO5lRqej2nP+mLVeXMZAc+Iu1G3F6OBCABQOJjAzxJToQoNvRVoA6DDEklQoSCHMJLPF2Ya
gsuh70hpgWc8ijClyDpVfxSiF1UgeYf6/4pfHIxiB8bNj7fdinNLJlEp52VGgcEEbzPgb75wiEuA
RpaRY1ZH0XNCR3WXhyt6pNOiK1y2QGN6NEEP2F9kMdWq/5LLOC3m6fTwauf2MAkVVIAl8Uuxmf5i
qdf+UhFbX20RG+74lnSXXUNmXoxI5IptAyhwEp65wMtMX5qGp89hggx18uVSEsDgkWVHoHwJOzk9
JtC+LbuQ8huD+P4qbDNfWANWJOArvtltMrde7glagHqkv0Sfua+Srg4uNDoWZTRuvGTNpKqtIeGB
i1gXfXfSluJrdydxZr5sfrcd6ISXSqH6KJyKMJrJC82C+QrdLVr0DCfniHfjZ3CptDch8lNd8MDo
22Tz5tsRbapjRFtSRgOupJQt4/3oWf0wB6y5sIs2xaJzmAlUVyU7XVMJxYsiyU69TrapiyUC7AoS
QyiU8XwZJmTsfP3s82a8xd8119FC6meQAv+BEy26zIOtvUwg0EYOG/zoWzRl3fUMUFc5DsDGxm20
XNINmBI1ZOvXvAnaN2xj0cXKCb3FrZcUKYrY92Oa0zeKjdlnvK/loUuZaa6ape7/Mxr1p5Li2/88
1v+jB/hlkGbilP2pPfzXH//3acDLp/uhcPv3X56ki//+0/HbcBI7nN1/dPo5f/0r/Jg/f+5JI/GX
PyCdgCTxw/rtv/rHr4gy/kcc+ZX/+Iti4y/SlP9VCT0pGqKx+1MZ4x9qjX/ron77sae//pc/xRqz
/wGuAtReqPb5gMOcKj1/ijX6UOQE6h58Zbgw0NdABflPscYo+x+UcIFTh34iKE1BX/x/JNb4a7HL
w/QjWOTQynNqQEFjkf2hp1sNaCKVIgdmTdlz2nivLX6qxf9UYEpTseq2xuKB171HN/s5jKcz5cbX
lnbqs8sQxS3QmCA3Svq10E2N07+x6c7VTz/1p423NcoAw4rqE0lxV8T5TcShYfKTc/wZHj9TGL+2
c7fLYdC5ZRu4dtfN+6PTSUn9/NzYyGtrO01tphrkPSuQbEMYvxO6/QQg8Jmq4WtLO3VKGntjbHWX
VhA29MtW1clBJeLfsRL97YYItJ8NHoFvXMUhPKWWC8ipwaTbGSQtuyzu9iUjmWRmG2qMLE4dLdWa
fB+j9ZyEwit2iZ2+YJ4rtbYCJge1hYcqgqcP61mJuNcWd6IzC6cVGS2a0fk6eA/b4pOruFsXs88V
XSLemWIYhKASgVtzfak3dbognvfZ3InPQdlp7iSWzjokfcky3nbxeKYP/JpVTn//U3SKCWmODeeT
oAGVBQi/k2Kalm/7Nu6EZ92suoawJr5n0H9txHgLcoAzjZ/X9u1EJ7wEuKzTmUXNCD0vclBzfQbK
ejLr32Xzv+LH7SXZWKZziHdl1USLVywQ5runoD+5wfF7ZuL5tc07Ecoi5jWB4UmFDuBV5ns3VH3d
ZXF3dNzGU26hf4nRM5VeT6Bvk6DG37e0E5wYURkTKvCCzTtfXXWkbm/WIDwzcPGKRdz+EPr/KEeg
sFdtEV7QFmnueI6p97WlnYvTKpX4wynu463FwEZ43frqTB/8taWdwAxq1HlDj2CMykvJNc1QZ0Dr
q3neZ/DTT/0pNEHSgkJQg9XD2nxAPfsOQoHVvqWdwAzTbjW1z03l+eFXq3J6Kmq/7FvbiUzWGpD5
r9RAc0fjZbLJ/ICm1Dk8+2smd67OHg/GkW6zrkSSvq3xYrN8fNq3cScqvX6xI8ahUVSU4bNK4q8c
yPXDrrVd8JXAg4KuHDzGfEyg7pfcbe32r1qsfx1XoROXnQVzsODKQMFQoH6zNHdC5V/3bdu5M03U
5dvgK0DT8GIpyLYdk2j9tG9tJy4BY2ZjyrXGeQKtyTHLv3ud3WkTJzDnSQ1yWDa0DH31TXrzexr9
sW/XJ7/8KSi7WAcWrQGsfOqLDOudT1HF3Le2E5VBE8UybyeNqcylu+l5uj6t4XBuyOu0w99caz+w
Bj/tPJ2MF7ZS6kpF5ItI4nedyM/cmK8t7QQlKpSjadVqqjA1XuGz4Lqv2b+TXvrbv52w3GzAo2Ab
dFWv6hjM4ePc68Mug5/eij9/TLBUEG/NpQHbafgQEYYSH9vn3YETlaJO7DjRERdatpqCJ/yWAWWx
c99OWDZ0qlNUDk0lefuxT8VN0J2jgHnlU7q4FkpyjMedvARtdnHI0VwtCfgb9nn4j5Hyn3ywhhTZ
XMMTK0K3sFiZAPik+Xdo5L8c5Ye45U+LR33YERQYYfLVu+I9OkzNzhzCBZlSr91iL4CDt7G/gSRG
o4ch2n2p7I/Jo5/23UBQCWP0qBAKuXz0IYlVrP45/r7XPqcTmQLKgVOc4UhB94uWfQYKB97uvNR+
wHF+2vg4YF51lLjUUiMfF5TZV8zu7YpMdzqvCaatZrBzFSGZfcRQ5fahEdO+48p3YnOMohYM952p
WN0/JTp9tOwcVeAr9vadyNTNkM0Z7U73PKS1zUa+xckZOOtrSzv3JbAv6TKDLajKVHTd5UDpiuhp
n7Wd65IBaemvYaurGUJMBUBmT6y1O9c+/To/OQltE4BvOSwyECBzxBKUQgzdvkKKOxSATBDg8xx4
lHXKvjd6wSDSsvU7F3cSWbUA6kQjDh8MN5TFaf9p7M3DPos7ccnCkanRh8VZsLyJ2qBKZr4v//ad
+zLH2DFwIQ1c0HrftMq/xP65Ic/fuiCqq859CTTUnLF4NgAVnyAx0C0uRo8/7jAJFneicguMXBK8
HoB3NY9tjgpK1rZnsLWvbdwJy0l0oeQBrgZA+CCOlKTqKuzQddq3cycyM38BcKiGiy/MzyuqVnEw
Xs/3XA+wixOcWQucimxGWymr/RcRLPmnulbqat/enfAEUCToyJzoyg7Js582j9myJ3ywbyebXaJg
heAn6HZib7ngikcF4HO7qm1Y3InNeYJa5WRhlFDGD73hh27qz7wdTl/tH3kylnZC0wubDYwbIxAg
IMuUm19BZ+2z6jrA2c6xgb7mjk6Ixly0s1kHW+mRXQQJvcBA5z5fdLGeaVJDxN7D7mkoe8hzr88K
FZVdvkKcCKXA3GXSDqbKVvTv4xZDL1vifdu3uBOiwA+atB0mWw3R8h6dxj9Gedy3shOeYFJhIXqq
OMeV+CqW7Bvesv9Oi+/PnBMjQk5wMrC0T6Cs0Gi4Dy9DWL/12ed9u3YC09hG+7kFnmptlrdz039g
lu70EScyBRAUY29xXs103kqdz8nBTLtqYrCIE5mRjYRpoFhdWW7e0V6+8xdS7TOJE5kZG8mWAUBS
9bK7jPv03RyfIxR4JSKJG5EQTSE4UULM1XvIsOpUVeHefWfOtbktnlcnG2JyHMNrv/afcrMrBQdz
pROSDCivfAK4tErs9gFJ83W6xPu8xGVyGASgICClxYfssncNTT/ZIdt5SmVOSKYcdbaMA6o2eXoF
pyhEYjiLn3e5SebEJLVNDHZ0zOglUt9o4j/YfN1TuIe53aDkk+R+DA/sIvnkjXNb0RWaevv27YRl
A1xlLHVoKjPwN5g2v/Tosi+3crVDACTnA2CGBuPi4Uce63ck7vxi37adqOQsj9swQeiAX6crU9Qf
M7J+2Le2E5YbQFFpbAweD9x8EdK+EE+cE4B4JeRdLhZwkwOP2KJODQry+4F2mD7Ew2fXvlMnLAU4
lvoQtMe4KcVFX2+XMmJn0qrTffib9CR17smUtL2VEDyq/EZEAO7VZT8Flxkdigyhf6Jm2RdGrppC
OBnhzQMqnVkkXlS4HoAC+7rPPE6E1kvYQkgZ7ujj4Z3q+Nmm5OO+pZ0IzfxZmyyGeYCweQRBWukN
+c6lnfik6bqRnKBaSP31nqb5AcILO5d2Ls0m5phU4Ni15FKVQ9KgvjTsqViDVcmJzwmTATOYf2zF
G6kPjTAalEqeOZMtvxZFToSKmW5EZBNORM8sL40Ghr+rgavb9TVdggRtMDiWUTw4+zT4QpeGFvGW
ftq3thOjYKxTcjllyrLrHlbdQV9yyvedWy4SSENsG9BgtDNR52SFaDHa7CfnSINfMXniXJ7z4jX+
gAOxyjZoNsoNIPVo3/2WOIEZibBOWQ+bKFHfmi0FSnFun/bZ24lMJVKrMBGChFa868n4qVvyPRUP
cAE4gYn7fq7BbmCrRfXk2K19c1Oniz1jk9Pv/psDN3FiM4SQPfDKMPfCIRl+oAwDMCKxy+PMcsYO
u4zj9u0blZl5S/ArJASDWYZ8COQ5/pZX3CVy/JzJCBDRmcE6JvjkTd5dY8J9ZRWXUs/Ioc8WgmZs
PQZ9sfnDl9XwfUeiSyK++GknRoWqeOgvxyYgF2F0rrD3yhd1MUw9S/zADrj5ydwMV0kCxUAwdmWp
V+87FF0c04pxOsENxuDY0L7DmMOzNeTrLkeJnesfHPkaWqo9Wlb9mlzF0UZLj1N93Le6c7Ssfh1T
KVAZF2z+lnPA7YXtd7XuT/ITv1aCYyUgvpLjeeUzORa17Z+p35wJ0lecPD79/U9V5rkhkRHm5Ik8
f8D427HWmBDYZxTneNEe7Qcw5iJR9CA3BGD6F5VCZXLf4u7p0oD6gSTYeMcMKykmSbp5H4QRFneu
/mVdBwyznQZioR4ICc7lOJ6Gofft3Ln5mZcvG2vhK/2itnLuQIu6Rd4+R3TxQKA7wNRliuhXvrmk
fQcWjXOUAa+4SuT4uPIx+tZl+JyhL0vI511vbfN+l0lc3qpUbJDp3JBqWW9hGEvAvIsN2Z6uFeii
HBdf2kjpCC3raqrb+2yZ76Zk53nlchtSwRLR97D2mDafAyQqIKZ42GcSx7+BpCM8H7FryeqjxscU
xNtXunan/YO2N8OQKWiDG6ChzXoDhMO+A9zVGUvTTWdNH8C3Ic1dz+3d2uQXuwziIoEwH8pXYnpb
ZR5kJFAJudkysW/bLhTImwaAIjnGXfS4YUKrfjez4d2+bTv3Tg0KGfCdIIuoAZy9zGrLrsiq9h2C
oROSg/GyRUJ1tOoS7yjBhDp65yhcXol2VwN8lIPOJ4YjUMVa3m2Kh1di1G/3GcUJSWajJogBcq1W
47Fi7gwr+n7YF++hc+3gAeGNLCNI88fgjT/1N/UwVfv27QSlZuj2jpgJB50iRAOAn/+e9TtfJy4F
MmmitFlG+KDE3NrC5xsQ4J25ccLT1fKbVPzH3/90y0c+YekiUTZMIBFki3wVy1D0Ac+v/RijyaAX
8N9kVpMHLzBlaoR6E5DVgh88VDfjSjHqlwjwXl9sOorXI2QL5BsVqvkehGkenjpQT7hCcZw9GOV7
wx5kawDa1l8zk2FZZh0EJ1tn0Yc4rG8S2V/u+owuViest3QC0m2rmkC8DyHTVLfLrskKbNtJ1gyT
vRRRt1U2/yzH9GGxO9+BLkxHgQnGLN6AsfAOUtpGHUIoq+4ziBMyQk+YHwi0rLK+vZVjhApwuu9q
d0E63sb7tNao/CoPfGXhyDHjmal9h6tL8s6yBf42W1nV2TyWcU1EgaGZXQM4+JROosaZAgHqAquM
EEi6sDU9+KQNzyRqpyP6NyHpAnVCUfsBFMhkpYHgfsyH7QPBhGgbZhedmPJ9jUcXsAO+3HEAdFFW
Vi3cB03wkt+hgAhVoX1+4zRo8kyB34+hH5uq+lYk2zXNgzNLn+LlN/ZxcYBAeUiQGeM4JN7cvJ88
pCyghSGBAOUErLZr/y7qqDY57+dwlBjiWMwBUiwYY0/MLrQh5vbc2zlv5rhNJlnNdcvBsAa6GMGf
9u38ZLafTnRjwdcUtti5v3rH1g8v+mb8Y9/SzuVsNxVwPc5wmhxT0Ot87Y1yX93DhR1hiJcHIyAq
VSNm0GplUx4zKB2SL/t27lzP9QQGAWwcTJ09RLYVKtll54XRxb7VnUfhyGm6dCkw3ZFRH8JGF2wK
drbDXeyRbW0vZlRWK+uD65NNpLB+vOt7gonYcRUqE9ITkA3Kdm0qCKbMJTTmdi7uFMlivx3NcuIV
ZEnKi4XbN1My7Hqn/IOzkGax3rITVZya7Jd5668yTnZdHFB1+dUmY4yB95ZAt5B63lwINasCtDS7
BgkDjL//unrWRWLiM1bnYQv+9+aaR+rMtfH7tBy0qr8uPfDaZs1qMLGdkg8s/aHVtsu/Qc/969LB
nIFLt8a8KYPgUcFo/q3OkGnsCR7i4o4aTLMFZMK+/ZVegXTpzRbti0sQ/P+676kO5jZqMbYZTaFX
jSC+YllHDvv27eQAsQCxXLfJtJqtJZc+D9+p2Ih9RnExR60NNWAZ0JYAh9H7dQs+nBczfsVPXMjR
NoaNVBIgMqv405iCSiff1+sAi9yv9uY83fzoh6hJ3/GDAfkRKBL3FceIKxwZWzCzgg0iqTBDbMto
bp/DIZ32fUwXdJRY2tK0zuCE1L8j0NWynr/zUzpxqXA5JMloIcGCMtbVMkE+OplZuO+UdXmU8TF9
8IBi47re3qNG/kFO6fMuB3dhR2xLDLRdT0KMKtvAFDOVfMp23ccg+v/VUwgRUpsYIjt8kDe+GW8E
dA/2bduJSwXO0GZuoLOxZgGttql9WMRZqaVXgsfFHdFWi3UbYJPWejc8A9ecjP1dz1ryD+CRnwCK
vp4EQohtDz5q12bwds2BgzvZCc2M0y62XEMbSq9lmvV3STe83WVwF3m0rAkIW0GkUnlquK2tV7XZ
PgAzcXFHzGvr1ALDXI2IzuPpQKGB2Yd9Iy7yaKFCzCyGScDE975e/WM4dbtKtP9gqk7Bfm3iSCUV
xnP6YvFKvcnhTMnmNRd0Utls9cNWbbAJMQDqdo3/fmOd3NUiJK4sYq1mwkSGbzlBbRiKYcIvJrns
dHAnMsEk04PJDkP33kjedCZ/UvuYCAKI/v16nvgYwBu6DqpF3TpA9YG/5ZBo3OXeLvDI45nvAWV9
ogqQWV+ciKsxbjqw633LO4FJKVuX5uTiJl4uEtDcVR4Ndg0owixOMqs98NgNBnuHaGS49JCz9EDi
uW/jya8mDwCg54tAwcDUMagDUV7eunwfhh6KhL8unpDFV/nJVVZP2SfOk/QI0rd/p0X5X4gxcXUo
cKeBAcsDQ0MQ6LsoFm/svgYKSZ3gDDTwGAgi8AJP67U16rJe5K5KHKQFfjXJPPrDHDUrhM5E+GYL
aQVc2mHfp3QC00eXjZNT7QeMkMMlWKb4xaTHfe8SF3A06HAJZwuBNhHSm3ptnloj9pnEFdvuaM+D
bOHI7xPvPmpbUzQtnctdRnEBR8Fp8LHukaJk3PJjDppZA82+fRZ3AUcbpIW9EER1QGFpCHoOmn82
3Mv3ZVcu5ogNE47xGKQvUjIwL0Zz9xa9t3rnB3ViUw6BZtSH1UHTllzUKFfer+2QfN5nduetWa9b
rFYgAkAZADrgmYBLLzbzvrqBCzyqDXTk5hWLt0P9RWfgi+2U3ekvTnzKEH0qTvFkCwelC+W3PcYK
k+2Mq59O1X8WPYmL3dGxl6GNggOxiyP2xvKGYti3i6Kt0Okm92VyLopnlPGI3wETp23N7tg4FYs/
72q9gf7219MrbdoOl8XpFJiSoOwgmFSq1Nh9Ob8L4QnDAbVrCZcUDOlhW4+iXLWN92UALg+R7LH4
EqRI+qfkGnSwT7rPXnZ5uwvgaTuamSmBWaItje9Y2sn3S6vYu32rO5HaYMwqFyeFSuiMvGy9Pcp+
3lWvhUDEr9+zAUu3XHrQhC3TCvp1Dj76BIoR+3KL2LlGMy0zCj9PKwzP6rJe2rVQqd1pcydQp0Fs
i8ZMeLXWa3KQIHkuYmLZvtMxdu5Sb+pDKOShvMKa5BZ5zGWa7ENkERfRKBQHybPAxpNTVSUAyzY6
+8G+jgdxQY1K02nOJWqq0IQqeGxDqG7Sfydf9VfG5YKPYmHrFlL1YDqiMT3UYfBJDPv6iFBQdFxR
p8xCsxqPLbPdBOBmq8HGvSuAXPQR85L1T1fJuwu9Rd/9bXvct7QTm0Ln1KvD/8fZufXYiQNb+Bch
2Riw/Qrs3b373p2kk8yLNckkBgzmYszt15+1z9MJZzKR0EgzUpShaeNLuWrV+vDWJlHNmRfldyuq
P+E7rg/5l9Nirz7qNeumuGaYKeN2kSWkmDRqf/73i//mJNpzEuNgbRpImuGhtBTFe7dZ9YDTqYTV
/nTIn4QCFPbrF11CXPeFxdi4CM3zoeEjbJvH4Q9H6e8GZ7dCBRAZIOsRjLxXTwa2b0sijsUXeyVS
0ZuQBRseLQhH35v4VjXTITkmuJG/jgnlkMGVHGMSO/I4IdH3v7bH//1JfzMi4e4OCqCHsZ6jKhG4
1dzNyybOsbGH/E8obL9/ffMCThwFDETBcQnE+2KRCJGEHzL4wcN3t1BglkC5RckThtWw7m5DqEhx
l3HHpkq4W6SyUkD9XLcWWbK/tZlB4BrD/uDDd0foHBWiLUc8vBBjXo7sXpg/Sct+s0b3xkRd6bWG
/TrokYYxntoodN8X8FLalI0jPbip73VJK5gXKnT4KbOuqofBBlMWLfUhgxh82d0yBWBg6KsQk3Jh
6wqz6GTOdRj/IdL9zQDtbYpaiL4JKHIoIAaTfVuL77xKctjWR394/m9W1F6jUPMOaXl1fXntPyQd
LLPpsdYMMOp/XU5RpAKgZ665xQ6W0G0fXioh3bHAa69/GjRV60g1oFKdfZTtdlsw8Xpok9nLnyCX
brolwXuXtmIQbIx9ijzgsdTiXgHVt5A6rha5XAXB2qmx5M4G2zFRGIDvv454RftxnFt8TN+2jyO1
z0kN7/Rjo7KLdIEZnII2AprOyvIpifQtP2Q0R4Hv+vWtt9ptZCTXTV1Ebz5uHoUF0vnYW+/WZki1
cFGENDGQChyws/7zsvqDwf9e/7QEw4BWfQzJNK8firG4yLY7mLTcy57iKOj6NcCLu2VL1dB8CFpz
bH7vFUOURrDmmLEbchtetbHbOYCNYHZowPeCIRYpqycOdqkQMJ1KSHDynduOfc09UxZgDpDLLGbK
oIrXqfHPXUE/HXvv3QGKm3MEwgTWpVjqt5UQd6rQbJP/98N/s4nvNUPGNJAjQLCCJHH4WYVFil64
m2bYjp3PewQz1NnFNAwwCIVz/grPBTu+dWw2x0LFPYcQyKGpUyO+6FgvUT5pCcFWETbH0i171VAA
1oAh16FpTP8WM3ZJyLGCBd+LhgLr5h5cNYTPplNpVcQvepLi0FQEPPfXTUtqBNBAnMWnqa/vKlu/
b8Ux8RoIk78+GoyCKDSgHp98Iztwd+YuW/h0aPHzvWrIRhP46gNiuW4O8n5s71fLDn1KvpcMJUGL
2xxHqMLazabMVSar4vXHfy+hf49T+F40VFeKE8nw3qE0j7r/YiP24diTd4emSci0Vdc7nABpCZiZ
DTLH+Zginu81Q0SwgFPkKU4dDR4B3l6i7uOx196dmthjScI5w5Nl8q0a+I9549+OPXp3aE60jmbQ
koDVloAIMgPI4nTMoozyvWCoFswz3UbXWJy/oQp1duVwyLYfz94tSj9NSdG6EBvhZMkpsSZMIe49
JGDhe81QIScwyzxGRYMLGdnx2frk0AbO94qhMQRaLFwBbN6SKz9oHF6B7juUGUI/4a+7CSmKgQmG
8S7HCijBjqUrIIqHTnsudqdmJLwBwuN68ph+eK0Mqz+KdVRHH79bmsFk6Ki6K8i6YUB2h4+NPJaI
53vN0DBp31BoH7CfrC1YiUAa3IsZssFj58NeN+RkACu4iEQnMJyeIlfkshDH9tm9XxEdos2An4iS
nA9ADduK7wVb3w8t/b1saIsl6qng3IJYVDxNJCH3grbJsam41w1NPSWAHuLFfcKfxkB8gPn46dh7
787MuFYhGTyEzdNoJpKOuveXii/Vn9qPfnP87KVDcbLqOFGQfnE3vddhU6AC3RycK3vx0JZAOt0U
UK0uSpx6pp/UfMy2je+lQzB+DWzUozYMRlV4l3hFMnBj1z8s/3+Pa3Ha/Lq3jEFiRtA1oRMMiyiT
Vcd+6LBsy1SORXHwy4a//ozCDzB0AhME/fSzSPsrSTbg7R9+gd991t0hSop1w10TKghS99FjG8CT
GA0zx9o9Od+do61Y4TPiMTxIn92vhn2ToNIde/O9jsjRpCpLhwpoHw8iI0Zchqqd8kOraa8kIqh/
NrJGcLu6JJ8KVQFamEzHdsa9iVEMnIYoyLXDwdCySyvAHUuAeudju+NeSQTE69T0YQ/kgy/PRDcf
gPw91IoEmtSvU7GbaDDDTQelRCVMqkuAQdV6zF8VN+RfH26aWlNsuhDkyBUAt3pzuRPl0S+6W6nJ
QpZp5gBhJFxncpDPJDlWMIe2+dcXpz3Sw8ZQpMsSEOQwMf+Zx4NTZbc8m342Rs+QhzSVBCi2rsyp
1sGxAiji5V9ffNVJLxeoLU9FNBcpI+V9MPpjhhd8LyayAHyumpIEQFZlnyKr/WlI9HBs9e/1RDR0
nsULxdPDcUhJOT21/fB2aPHv5USbXaoOTsoJVHLrcsc34MrLpRyOxQB7PRFgk6xiwCGekuF7WMkv
tTjEHqF8ryXqF5vovr+qklf1d50UQLIuxTEzKh7vVifunk2/tTVyZnqDUJaX6/AQJIv8dGzMd8tT
dkFjBtSH0N4IMQsZY5DIeXdsFe21RF0CvpsF9RslBHYDw9KT/2MH6G/Oz70JkOqErVE1wyXUx+px
a8Zvgilz7Fa0VxKNCC4MCMpoVvN9cCKt/+nacbs5NOL/T0E0OX3F3CPJ4mV5qpK+gnpDHnN24XsR
kekXM0iBp9vG5aaKQAtvD7ZnAzf4674VjkW74h+knjY6phVlX1kxHVLLQEX567Pb1hsJlDY+6Eju
TR/+LbQ5OOK705MCCSTjax6RKvVyfXQSz+djH3O3OqWWlow9dnJgQnPRVY866g5lP/lePlQzC+T7
LHA1V9OYLQiFZE36Y9v4Xj3Uusb3W48+G2uqF2X7x/lP97jroP5/XQXfu/9o7WSyVRsi85KRE/B0
8TfvAmRztmKWH4+N+v78bBUJAlyxrojbi3IMsF/kQQ89e68gCsjcdKYp8EULM77WZqM3kEPZ/L+f
fs0H/cvo7BVEtuljpiwu57VaqgfbDepjPEwQWKLRIqhTWYf8ocag/ly6hB1MTu2VRWOjpqqfNK7W
rnnYrjkYBZezP+zx8je/0W7dDgkDo63EsYrmYfKxGeImPFVSDOgJXeDLdurnJQ5SO2yuzZTiEQwP
WeCOTYS9+KhdG+lKETC4BWueiUi+A5LO/vCtot/8Ztc//z9d4qRES/EEVvmpC5PP7TCajFJ1zPqZ
7+VHzA91JLVip8XNJt14FOa1BAP+v6fZ71493L06uDHlumISxxV5jrotvE3WPjq2Me2lR3BnXpQE
tf3Ur8Nl6qD3VPTYwbt3QFoWG9mAVteKDxJMmK7zK/TC9R9uUb9ZfHvpUSJjIbvKidOCxgZ7KgUV
n4hpUfKdroRisKUd6c/c1kDOL74Rw7Gjba9LIq5dwIpECkf6KAYsJArkg6LWkWMT9f9pk1CPBMgD
qyCppi61HZ3TgJpj++FemrRJNxKuan5iXRN+nCJfPZfTUFXHZupenMRKok0AOvqJJ0XmtNhS19GD
pbK9NinsxnDWGgNTz3OVrwW763RxMJuwd0pKkkDWYsXDqaz6Mwmav8dtPaYb4nt1Eu5YwTAF142t
EOqmtu+OtfZYOLTXJE2QlXTFiuNASffamqZ5pobQQxo8vpckuevmXmpA0dF0i9gzEX9d+3D+e1f7
TWixVyQtLV1rQyT0fUXvvwFEVJEUgXnP8rGr1w///UN+s3XuZUnOdIUhAUbHBMs7AugxpZYeu+Du
dUnEoY1onbAtk2QwWVNCmGzr+OBs3wuTEtLIdnHYPJOY6bSFg+R5CJvqD4P/u3G5fpT/cxourCmT
EQgrRC7zt1CZB7ikH9u/9lZBcJRigYB9wmlaaAb35adWR8cu/XuhDKeoObcMY7JtBMnhUoewInLH
WpT4XiozRq7lbY3cVr2xORW4mdP1EK2X8r1Wpt0IaUgFrUwwuo/wM3xueVD+IWb7zbfcS2Ua0OKH
3jfX9LAJ0AsqTqXyf0pY/K+g7F9i3L1WZivHsSqnCOqHZhDNrddk5mkgiyC6aWpXv1iimjVtJXbQ
TBQl/xRAQTrlNIYTQto3pvC5hwju+v+DoHSeOxX+ycOA0v/dLP7l7fYyOC3FRvSEkgd6kIR60C5x
Y1qKKgxSP3rN03JokrdSe1NkNGnj9ta2bGm7m3Aa/bSl3brBDRfCqGql+LMFXR1VRItL6fn6cy0t
lynU0ybXWvrL1I7hei7iwIx5t9rOZCsQ9x426x52cfEcWHjs+JKnKuma93arEnGSc7k0ebVNymSh
t+pbPK2dzUtj5k8L6Yx+hPyQ+1SJvuizdZ3827xOG/8ZmkYVMMCqzHBn22Z+XoH1i56qwojkAWZc
m37YYkAZ7k1gCw2M7TbYd1Qf+Xy/zlXbNulM41FtqRiGbgEInQAIyJexgW0kAFBiOQOtvRnoY1sK
ASGr1XgLTKspb9oZCbDPbg1XebOuog6zwQ1KfwLHsX9pWlz8njcR13VqWGLLO0miijzZaqAskx2y
2Q9BWzTzSzz0dmFpAVucGBsYbSWSojVorU1Wm5pND36QS/nXTEPaXfRqEk/RRJYM5WvAQNl5KMLN
w3WJesLbVx953aFsSyHTTkM/T/R18MS6CyJ6LdJmaYUD8adetzPosoBu5/GganeKCt3Gf402mHue
DpUP6zV3hDsh4Hhu3AzigW+M/D53vaI/QVoY+o+MQ/n00NXxbJ+DiAfyfpgD2Tx7sU34AGIyyqeg
Nk82ztCuv27Xl0QZr8k4uhqKj1Pl4/ZZV7Gooizqgdzq0mak7fgAlkAi3k04oPDkndlUcVsRjDJ6
REp9FsWm2i5NoPJ60z6m8/PYNEhCcFtMVTY3s3X/yHZWgz+NvYW3Pxt6dw+lsxgZoutYJATtzsv0
waoKdQWYNNX0Y60KFuZdq0U+uI5UebA1FF89jggofTZqi4xsc7WhPNOMTz0P+yc9lREsEXUjv6pI
dPouEXzATc8pPWz4hYKqxt2vj9osEc11cLqbFqNAc0bnweWjicvPZGtbd8NkE9whIzkESNMWDTmt
Qxe90L6hl1FMrM9s01ZhStfG83PLtBGpjICTTkVfg5EJ+2fVptNUIzddA+/wtSntvKZCC03TJkC9
yjgy3AhAMs6wkONf0fqNmm03bG1mi7Gs80jNw5pS0XQ3QzezL/OQrHHq4q4zECqXYs7BOtb+posj
9k85TgFIqFXygQ+ybUGFrjaVxzzS7W3bd6jSTMOmUzLF8iNbY5dbmczL2cHupHhatAzOAcgO9gJ5
ofva91Tflb4o/g4NxVsZA7vCrJ6TmV1Gqcr2rQuA8MoKCk+dfKubXqa0a+Tw2q/CvNYt+uTTYVb0
ZVFGFLmrCBF5UosK5LamvbRy615VF+CytsaBmvLRurfa9cntykHYyhfG5+EcNHbtzuNA1/mE6Dk2
Kaw2/I9BW0YeSWHaIoUCpa/udeNRQ2vRIDZfbGXabFBBbW/Zpqw74cxd3SNUwRcr5uEH3TRGp9FV
7oJJa+wzPbuYlo7vtojw11Gx6MesQp3otUA3vkhDssYvy9Rzcwf+UgwtgK5cfGbRIj6Ynhp/H7kO
rUBF283m7P1WBg9tXXl3C97Mcm9r4JJT0cGVKZs0C+eXkFXwOGT9Vp+bYV0WkJ/Jun3qrFhuOGok
D2VUVDanDA3GcYSkxoPckppkS7K26JZsjXuokzmxP4e5tvysY8+XVBoxhGnQ2nJ57WWBWohmW4N/
R+hYRgXQCHqic6xMvjZ2giJokeX21sbFzHLYCKOzjvhhe4tibBlATMjOfPVyhFU2iHgTy0tbzI8K
6l4UuMW41Kd5DdmaiRJWUKnxifE3ZV2DbZvGbKpThk7ve8oKdp6aaniXK1iG8zqI4bY3UPTeDeu6
Di9zYzuFmhNEvslr166Vf8RZpOJHN8r10yo7Wp6DDY3XN5UI4LmQmZ4BiwZITfJT88Shf1wSptAO
WBp5V3uY810s3HmNSSvdsy73I1ywHseplCWwUJRU95hR/WMhyhJt7XOjUX0Fque09gWdX+2VkvbM
4qplmTcd/SvicJ5DOq/RsJi/+qZ8Eh3vi/qeaXif5LDBJKqE68ZI8zIS5DS2+mfVBeM7EvZbjmYU
TPRCyj4LOLzscD2I+GuNmtXnxLXTd7nVS5/SynOZKaniS1eyDh788/IYOeLfyioSSdYOsATsTMXu
3TRNNo3mtrlHxkZnI9roMtrV5BI5K++XdhtJPosEJEOBv1R97VzR/RWhf/fFtF2xVGmkuqTNoxbz
/g0CMRfdDmwjNl24I8W5qo2ssmqupzjvQ598pUomyKwH47JlWNVRkLah7+k7FpVX+SJN0D/oeitg
oVdt7dk4VUY3kFlVXYqp5+7ryMERnWy0uhQMAOEsED7qU1jv8du2qLYxgxXFUNwKI/kjKHK9T9sy
qJebuKjK6I6VE+18NizDOs7pQFbHnjtT8CibLYBFuTS1fq37LunzzpHyow4HV6dEzWzMXFWPqfXA
gaVDkpj5Kagk91nppLm0tm6a+4Xzrb4ZuQncWxjSzWeQ46DcxzRCEC3Wkp2F6IL2tqwqjsyPj5oU
Pj//NHSy9jzEceVyGWt6Z5a2Km8E+DX9qZ1JmdeJcBmLJoRTzsTt5wl04ykdHc6AdKX111oM8r5E
R3gKL9yXyvQA2ZasCrHTo4XG5MVChTuHiDjSBYtRpWylOKQnIqqnpS6atCRmJmCBT7ejwR2Cz5Sn
rKUsxU9q80Gq58WXX9YO2GC2xOx2KSeBLEyXoObNRpxjPqrg7hks0KW/jsQ38Z3yRayzaemcfxy3
QU1Z4jSASl1fBMmZdT3aSzVa/EKfIojR84USy/usHpvKpEu4LebciWTsn9hUeJ+NY8P0bbsZeAov
pSz43cgRj6R9303+5xrWsUyjrQbab0IQPudOzaLO+16HJCspYgf4ry9k+CwKFbi8p0L5vNUAdeKF
FvcRebKuzDaYTz8gqEfPPovV9M/sBfxp2kiRMpsNZtN9wnv5hIzspm6CGMHVTd26eP0oh6GOMZfD
mWRWj2vz0hcT+9LFXYg1sgYtIhSpgj4TsKBtUBcP2zJ3DhZvNyyAC8GZKYAGLmBB1jJngmj9ptH7
RJ4aGW88RTigbxtLgxAj0ITjE3qlVJMX86xk1tWSfvY8WAxyb2Vi7G3gQdlMbYm4NZNx2bCnGgqF
IjOlQ9/NtDjzPIUjyqBFBBOHNNkg1buNZWHq+74Q9CNy8xPPsG/aGx5S8VwtKxnzKulK97bRYX7D
e5NvTCiYIrYwPSgvZAMLJYVJrZi+b9MqwhNo3sjTLc04r3nFS8ff0VycDLcJvr7h2cCp1N98M4KM
upWo0qZ6sfJjLNqlgqlzkZBTAChuma3BSOxZW7jr5n4Y/XoPjyk/ZJG2YZ/XHk52GYJ+8lBqu0yI
fl1t7xv4XH2GU4ogadt5eE/23bjAWJR3y98ytAstIDKZZ3vrJmzQt64ebXtyg0F3HN51kuDLV3EB
cSSO3pNnfVA/Yx83y4fWo8foflsL3FXDZTXNZVliGeYDB7MpVwvdRE7HMIqyjSZ9dFvOocB+M4UF
LLvHcR1v6ZbgGjhXoB+/45uz+B4k8Wb40VkcoTdxEm393yZEe1HGEqqXlzUuVvrKpsAXJ9gEKZHb
ijTnJOL0SxvS8algOPvzkPY+xm2hGdH/wNBUnNdRr7Zc2tb7284tFctFVNngIguo7V4RiDKfAbRZ
Dp9Es3Xdo4HbGyKuyS5IfRTjcCZ48pNVGwLMpilY/akK48Y/VDbm8ktQx1H7ZQobkjzTZZzF7You
3o8Ti1mHeVZ3z+00xOXtAL5PnCOspibr4fdvT4uXNszQ/EDkD8agLWzTkm4zZH+rDx4CnqjxLupQ
9si2uq87rJiu3dK+iiUUvBySO36HWS8x/jDwCZ5LolTwAi4UwoFKBVhB+NhVkdRop8J3OrOVrDNK
JzA/S2kyeoJ+hWj4GI11gkmHvvGl/dq1vpq/S5hQqu+jUXT7R06Yue5nGGKhkiursR5wRZUiUZmv
Q+LTlbcLO7n+iogrSznfe+OGKq8XnF6pGTQut7ocy7+jJkm+LAB4XbPynSYJcPEcKwBVolmffYMz
c81ZgP8qQACMn5d7Fc19u75QEC6LNZMTM1OXYy8oLD6qF7BEqXBpavOwcri9jMUawpYPNUh5gs2v
MzkrzeoycBBCkkKJozvsCgtcQiZctt8ng6ZzJKHRmtjwHGEjgdl7whXEwKmY6jX6QsOKcUQaLQ2y
qKhL/TzRmekf2GZ7m88Sc+lc+J6Li4inDrSFWC6D/CqLIXRvvkCG4M22vKszFydW45ahPUDCNcPm
x7GPqlNMqS4lBF4j2x7xWZPyfgP35ENok7K6oROb+ufAMRrmE3aY6q5t+/kDAKggtnbWF9FrV5oJ
0SlyBeSHj1lET5ygtfAWoqZpywaE3NMHtzoypfHWNPXd6mY13RSOMpS5tvAnlD0zSedWL38TNBF8
EF57tIMEnRvgbOqZzevWR909n+fyh7Wrcl3qQniLIYRvDWYhBeLQnOea8Aq/pYDXv+uemk60t1iE
/ktBaiVSNnlxGyab+FkRjutqQmoeZyuKJe7ETMnrxxFfpatS03tkqdN1bNo63aqZ4Uv4LX4B/RpN
b+sWLSnB581nN0ZTHsZ9+JLIMbT3DOU6htgHx1uqaxsPEHDWPoT1sMOhB/KlZOewh6fqSXYhM98X
qq0/wVfURcAbFlRibSHAzrpuQF1lDAiaS5a4jp9DCbzdSwxiVpsxpKFttuGSXOflNrriflvK2GF/
qwuWQiyNJvES98/xwmBA/7h6r6sUVKlZPLhoHXCHClpWuhRU2eRzXDvxD1sCMn4l1LnlueDoxDsj
qQtT2bCNFX6FxcYggUGdVmQJQPSveEQfP0wiECP2IUo9hhwucvATbvrK3JJkbgBM96JNWAbvCvpO
CTJP6QKriQ+GcmRlgHRRuGkuSSsuOG/QThhBLHVBZr1NADYzTCKfAwuGjAT9UEIqgG0ORi/TgmtA
0pEo71ULHZtvdK/uB2o3kMgpV2GGK554m4te8pTIWdisE678ksAU7TK2aggzHTbik/ICaum+k8XH
XvfJZ+O5iTNKTPk32r+2DwKYCLzkjAMdN59IplPB5EsyqfIvTnxN82A29oIfsr6wlQUnbKzm1ehq
DBEsLXOTeSXcTayXkVyaaoWCOoKfgso6EwNYUk0iducNYYA+w0y70zjnPOhTs8KWeRcMc1t80Ffh
71+d6RDmhKjERD/RlquLDw3k9SjRUJxSyNfAjzUrFRJtT0aO9YNbY3KqfAAbnxLD0Z+GoTLiDaa4
ZM54EGLXVTi1rM9RPo9VPngE9z0mWECRSgvqIY0XZJGybSkamE4jO5LG5XIysn0KY75+mkPjb3Ut
yHo/6tYO391CFA6LZhz1XbC6Bl2QRJRMTmmFlpqXhTBWZ9L0TZ9GnAXBC+vX4nFkhSCZHjt+2cQS
qIuzC/y/W6N0+anRoOe9KFFGIWJUOi2ZL7V+JTwEgUk63zzFbmIAkNSqXR8XXKovrJ/7+1WFkc9w
d4LLUKxwkI64kpkXG0XiG23quswNR2SStnEpPzDQRe9QCu9gY+WnAVHmVC7vyNFYRNABGl1xtana
8T4YeILC7DCvn0k7zxcVDBtLa6mqp25qm5815by3yENQ7BZqrbfmvplw4bufBiGr1G/UL9lqFtzz
Y1sHMIeK8c1uRFVPrkhho1OqDzzWnbgPqqC8qztTz9kQmSW4C5X3HUaTjz8AETQ6jf1Y8JRu0drf
RDCZ+urFskwZ4jj1XIZz+BAp+ep9AfEoDO/EkmPb3B4dK7vwoUaR+wca6fkrjCDk11XgcnFnC1qr
24HWJL4hUbL6G2BehjEd+7l8i9Ge+BqNqujTQfH1K9oW+ZfQzvbOjMyeiJ3Oa4FcS2y/zwxLIo2c
m7+gfhClUMcgWkO1HjtnS5407pfPDPlvsLMcJAKnCeHTe0G35dLj7HxFD40LLk2yIEVaJ2p+jWS4
3U2Ox2W6Klnf6e7me7fN6biCdLZEZM75zShhLZEl10xwQSv9Iax18YUKTK5SlBbapSj2N2BHoi1v
gHyxy8bG4FNUwBA9rboOnxK9rX8rJPk+NbFyz2snR3orLX2XZE3XefgZ6+njVtcUieVR67sq3uB5
JiDpvI/7orjgwwRp5wBZgY5mbtZ8dMPcpBj++JMKtmXKEwTPQ+aDuoRWCDm2n2yDwRxWA0MOGiRH
+SZxaX4upRfPAasah1Nn1S6lmLZYp26tXysyL9N561hkTkW5Iu86kaj/CooLCXFyM4bsfBO8UhmM
F8rICLSLmu33KN7WH2KdOoIE5Br3OBIa8dPCCe2fKJ4q/K9JP5lMYd9VyHsgNY9MZBF+CDUS1Gix
m/3XPrRNmM6WwcygHoZR5a3k1ZCGOlYLgsN1efDLUlZZjPz8R6hg2AInnsBqXErd/BdShJ09T0kv
fmBhhbdJsj3ZgDVPsqLmkW3DZNKkY/65T6R+xHbNv5kGMPI/qC5+U2zaWwPA13l0XVxCFs+n8ILe
1TVjTB7zweF7QkpNkNoIjYViBFM8mBBu1WHw9VgpeCcC12VX9lN1LR7S6raasB3RcD6GuuHkOlz/
p57aT1HZOkCDT8tynT8dyOHl5oNjvQj7vm/K2rVQOEZP8Nqk4rZMyHYXOlRCj+ke943fUKtXSHhD
UjnPyRtRD6Gsvhwa9H3T97pWSLUUG1RXkUs3nbwESXhsJu47vlFcQsOHxVzRWn3r5uYrHcSfhH3/
PsuTfcu3t7xWrMCzY60+O7FlFT+G4Ev2Dd+lK+u4WlCtLQL7V9ygjqWnv44MdrJv+GbYXxmcAWBo
ZkFyiOeEoQj649izd8JANvaFxK0QTdlN+GNDgUX2dDlUwIZw69fFg9IRGmL6a3smD74BEjfmVNfR
IREaLIB+fThuNkvDYjRowv2myitcoN9RQusPKRISyX59OotWJBDddRJ6qh4oUhUd244+fKf7K7CL
z41pIcb07ilZqyzs3CH7mGQPioBXJBLvCZqnonF5R2oRBPXi87GZspPzihG1sgDdPCc1rOylNEWU
zpv2hzaUZN/2jbJoIreiQJd9gFLO3AcXXhXHHJiSfd93PBMiE9LBuIshN4vaBaQLuFcfGpd93/ek
F8U32HdBeiffpx41KSToDj57tzqbBc78yHRDXvI/7J1Zb9xIlu+/SqPeWcMgGVwG0w1ckrlISi2W
JW8vhCTL3PclSH76+0vZ1WXJHmuqcTEPd6bRqG6XpWRyizjnv53O2BfOuCkq8S/tPfZL3/dkr23k
uHxtsNytqrJPXl7f/WtX5MWr2RGfactjsJ5jjmugzHzZp32/hv/ap794Nd0FYUEcEe+YjV7PwPAu
FAyleGXHPHokftSd2C9t3xIch8hevDCFGqkdYzNikGqnz8guzAZeGFgry5t9aYv52witf3uY/z1+
rK++fnr/j//gzw91A2bAbKYXf/zHTV3y3/84/s4/f+b5b/xj91hf3JWP/csfevY7fO6344Z3w92z
PzByF5XsG8jg5fqxZwri0+fzDY8/+V/9y789Pn3KzdI8/v23u8/w82HaD136MPz27a9OPv/9NwSR
RG4gQf+374/x7QeOJ/H3386S5f6x+9vVXZ4MY5Unikfs62c/+4DHu37g86zfhWmZlg0lbuq6czTN
q8env9F/121LWOR+eED5R4d0hdY7+ftvpv07U8kk2R8e1IOlH+2HfU3fx1+J3/lZXSKQMXWJI8z9
7Y/v+exu/Xn3/laN5VVNM9T//TfvyVf/5zPDjm/YBo4YqlsiO/iGLx7MzBG5OdH0byMtU7e1ncu3
pdKyCeZtiBMsxHE3hcRlxx0DroXsdscZlddN25vnZZ6bl2k+N0xoG6V0d3nUZyGza40+HIWWb81V
pBdmlDZZsMQlLIrsgaJ1fGYQn0nu+V011FDaRr6NQEkkOOCqrjv4hgpFSswIhLpQa+13JjLhXZJN
drbpq777ks+xNYdlPzZO0NaadkARBcdS9Tjkg0XvUqD51PEeqYK9R2A5Y/K1yrAZiW6U9+7Qp5CX
ncpvHQmEEcyFp+kQGUt6XQtL3rgpCifIlXQ6dUaxbi1v4vJ4fZmEhJG7p43FDFZ8DjJ7dLrEMIgn
nBJ6Rs9u4qCIRnFwmCwb+4ayilPRKxCmpDC9R3wxKfylZ1uPHikQtzmCk3DEq41mCwFA4OhllYRT
qs21n+TaNIbSsvTSz4Ec91XlVe+rzF1CmXWSbqvNbzrmfV7MRnLUYjQRUSyDyBO/TJv84KkivjLt
JT/U7ZingVX3wynjHqUMzCRRJ2laOBd0i3KXSC8d/cpA+RFUdZRq/lpq6h1iifiiUqRFVROKkaWd
V9cnbbwy/Dov2jhotGo1Nr1eMnBVQTgedBy4Enx2UrcF6eHnhoSKn/EEo6DpIEF9AktroOlVGzdW
bjU7F7nCNhu6OizdKelDFL1xEuY5KKiS5WyhqVyrN+CZ9peOJNXdwlw34Xe9aQOVrab5wc0zYIsU
JD+smym+0MoOEcEEnUgCuGZACRT1BFGViBLSqsySnSOnaEP0Ew8grasxh5EY3Y/AuM4bq5/IDRvW
/uBoqovOUK2ltT+2ypA+oCkXrkT5HoXpOLjBmCErCC1mU36uk7m6W9fRGTZ62nPTEk8v9+nKOaHI
mw2/S2bznKgZ1QblVA7NRdUvzfkq+Sl6+eJc1IvcLWtbNuhv7HLPpZk/RyqlqZcJrLEmXeM8qkzv
pG2r4a6D1SKB1FNhFmvxSVSUwxQ2UjMuBYPRA2eI4p1nZsqPEvCeVmcD2DapXFeYT6SYnIWZnZZ2
nr6h0UpPFiYIu740YCxBXN0MNvb4Vo1tDdNit7psSPSE5ag7tQ6+IWkt/ZzXsvH1zCGQX0zkZhGN
YAChZkmTT4EYrBVcdEzJ19HIqCLuRA8c/DMek5LAyhZTfrK9ojx4I6kZ+lRUQaI0eRhXYkm10sz8
yfI+DQwiDvJE16+I7Sn3c1nHn5oGRLZa9fowOiZahKhidfa7MkpvlywVQdJptfLNZEDnwCi28iot
hHaqQTlcLVa9XmheNm15z9W966TJvVD9+K41apGHWZEMse/B4IUNyT1vTc8aUFbAj9vImZqNzc44
+bw4cx2KdBrOjBJNUtBlrmEGFfmElj/3g3if24N3aTYx6oJ6iYYdKj0UCjLPTophie9kbM7vaoe+
APGEsK6WMUb4oNL20I/zcF3bdrFfRS0fjNiyTsp5fjBUGR2SOGYClHnEnUiIlKcophy4n1ElXQgW
LnR/Xtr6BBmTe9nRm58pMcWByRTNsDdM83qo9S73pZW01+ZcFu+SMhv3fe6Yyi/rtbMApHIGB+cl
T2tjpMOdnCRS0Mm9hFNVBhyVNGpko0V0bhZSr4N5SCHcjDnqPlZFNz+aseEY266HvAwaiyvBs+ms
ZZAZnXtW9FVs+tlUTgLecMyWLWqwCemaZH5wKRJx0atBFtu0XDt4fDtKt9PQddGJm2mMk2nHpEtP
3YS4zTCfetNvpKM8Mn/sPPOzzrRb302j7o0UGQRcFBvqYBI3sosQrQPLoUUYfKg5Ffv0uF4HtFeV
dxoSrK0GgvWuL3J3a9c9U+htBDh5pp+ttr3MvpYhJQ0jZEUA9p073CxpV/DUN0uvBdE68h64cb/c
p9LsrpIuLr5AW2vbTk+XW8EYsF0+ZPO7YrS61I+dRPukUJh+MjXjuGSpPvkYI63SfdPx9AtrXFDm
xNIhD8QdP6JqFIg1xrQbWd0aB41qpJkHLWmTSxEb8eMyCauDRVvm27Ga8yXQisL9lLWuyVq8VFnv
W7WT7Nx4dTZznsUX2RItboBRdT4XadxeNUbfP0yuMdyge5VBujrNp95TdSCXCfq/a3vngVENzsVq
auqO/KUlLGLrU5XkTomczEo+zAiWD27ppLtVDs1tkcfWfkkMEC2aUNyGvajeuHpmhIiQzc8WSiAf
8XYlAogKZ2+WhXu9RGl32Q4KYM3VDPfBjQ0vTJqx/zAko9v6U9lbZ447ZMSKS/OAd6s4NW2zvl7Y
/EgGWUDeCzyBu94WcL510/Ca6HNccz2EbBufGa8zWxAey/M6rvUQoHQ4AGbOBytNuy6kuKiuB9Q4
b2PddE6I12pOAXnBjycGXG+bYvKuutRDPsPQsWJrTS51QUSOyEnR6Q+x0t9M49EO3TvJNneXIiCm
Z9gYFq47R4MEqaEW9gMzrPNgYnkPs9ZsCx/UPPHXFSt8wIjha/wglAqdcVeQzLpJFHSosJet4MU4
uK1XnbnV2GfIyAtKm6RcLIZmiGpbG3p7pU1Gtkm9uINMIqobktgNoN4f+mP8qu8algjsNRl3mY24
zbe9eT23VkQCvF39216sjd/Udpv4eeVGaG5Z97W8QOc9pO03lRCYenwhotY7A3Nve6LkcvcNMnqx
X/VC3uhJb1d+4mA7DfKxaC4yfdU+6FpTR2h23e4Usrr6kjr1B8dplru4jqyzKNejj6JszHuiBtab
tbGRjsy9gIqp4tsozauAMd3dmUINePZVgFSv0xuB2tNP1oQSC57J72M5hLo9IYnPkyoLvqqTPGKk
9txGlsuczrlJ1n4fY/pCwijrGdZEib1mGPKj05lN4bvg3odOobdFjwyfIq3c/FKOSXFvxZl7PeIs
YL2YrV3RWOhZZFpklzb8DNWgaN6QbZBV1CNRu9cZ/nm/GlkMY6OGs7R1mEDLONr8oh/a6CY1Vr3f
1oMKS3ZjRoTLfYeq2bMUM9+jIpfI6taSaKrlNGVP28mST3KicfUt4ItNjfx1S4qKgDztKh/i+r43
o/em2S27QTT6jeNm6lyrBoQELxVVzRjNVzY7gUxECM4cBV1R78jrFTvXTA1fN6sLDY7mNrFniPOG
hWCRxFcgXE9vYRgHFHuLtp9Xnq9ciWG31r3a96OFzCEqKh5dBjciaksjhwgplfqRpj7nSZpuRydz
tmY15PusW7pdNLZLFBhLJT8WuXoYJLJMjD8SaB2p4icY/PqtHeHt1bOy8/PEOERYat4zc9u+4yp4
H9jCIY4mYfvK0vLrpGAculut6Vmhec3eWbP4UIhiVFvGbnhb4fV4fYha8YvyPerm9r2a5i9Uemdk
U5abrK3WcBbwhCrWugfkb8ghpvJksgpJYZJ+dNzFeTu0Qu5Gr7H9nHpzC1AaJJGUb9guHobYiQK7
crRgHec3XInqtNIr6g9JPXcyttElqhReEw8IKqCSmLnlLMxrPDdbtMXenSdSGSRTvjK5VLfUVimv
ukQTTt01F+tywfK2jcdu8s4LLXOO/87z21gUb+diqjZqNZnMtTQ3saPlaB2S9NyNkvmAVCLfa5M1
fWIeqAiUp7PxFQyW8RlAZifHUd36eZIwDcJv9alhc/cG9Hne2ve70YjsPVT2Ai0UVSfmoNSIWEv3
dhYt2d6pNO+0d4w5GDKoF3/VkG/zwKXs8VPt8qQgmOpRAlnGIRt01rG4UifOIr8U6ZDfMn1uul4j
W7tyTYmsw9UpDhroaAdlRkaPsSJWvuAZm3eIK9y7RUj7Iuuj8dxhIOulFFq/mwSsYGdnyalWkSlS
tTVyIFWYKATle6Taw65J2mHX6/OFKFEVJPP0aRUoMmzpvlu1Sgtt0cod4uGLcRyQp3fHIj9GeHE3
qYFftB2ul1GtWZiivjgg5+jPzSbr7vXe9djG9Cbe1gU1eOAgkN9Xcb44W8SveuHbrjIvyIFsKY/K
dGP3mrZDQMLLVi7LeR9D/A9rNZ4YddcFfVl4+OgQowQGsnLd14a6ul9HsVwkK+2pmw/lnvG26mPJ
poMCN5pRHytW6KLWo41ueR4+pz5+HLIVuVOb07YxKHRPEoK9ZzJXcloN2XBSuphHWnSzQYky+paJ
vOlba8yzxznXz1DlOr4nVZz7+WRl50Wil4+iX6br0SjH/jA5Y32jT516dPUcWYc2uPZ5C2ioB8aQ
jQ/InAp6Rrtia5ttU9uaNaFjg13rN7rnyB2Qa0Z1u6oQRQN+rKyzQ73nH4i57lLP68NYR4446N5H
I4pZDTT5ViVQ0nQ32z6v5s2Kj/0hq+gQtVG+95T3UUz5/Tqk2Umb2fWHpBJ2YGt9cWt4riBBPr9n
zwa69/oVfj02RciVceDY43Kf9Wt2Mq3VcDM0AwgF9o2TSOrdI4/cVKA/jfKbJUNVhl2MxMR8HmF4
2/5zRwMX0m6IUxSz/a6u7PeoznhRUpekoknsNKe1FPqCoeIckzrUZ2e9nxmdFzZucp2P43Ilp+ST
XaFKcWtUmq4XwahnHb8/aghuq8xbNqp/+hcIq7ut4WgfM9f92DWG+GyVPf1sTpBOoNfGsC/i1RQb
E0lzUC21vqeWq6Bqi1ZdeGs97gjbQbY0MXaVVbvVwoox4zdz65EDO4nxRtYrC1Ijx/5B1zp9j4Dz
1hiHPuhnqa4cNqJdSgl0odJUCzuh5rAql/5iJr7vbE5xZIwZz+/YNvF+dpvoxLBr3uDIa7WEVzGP
Pzhrx8TNjCo578R0i0LCqYJ0WmcfYboV4gOaT/q+7spQtjXyE3pmvqnUs93sUNAa0nB2dldkmV+t
s3tdGHnDdLZ82qJHuR969y5Ls8RPGnveI/+Qu1yLOrFFy2FUQCVOtG6zqKk+47tfv14gh2bzvJ6b
LHSxbG4LlU2oTzKDBYpe5WNmqiSsBrfoA4Y1jhhJUGy5qGSLunzr6o04RZOV411i6fGoeIN1tSu0
f7ygptnLt3ZalKAw85eIhjboi1SeREzsDo04KXElcsfSJVp3VKTZrWs1Wekb2M7SYFQ277CnMped
aF2R3lY9a8TY9/F4GtfMLkEZ34n5LOt4lGgqi9JHcmTa97JBXJQQYE0zJNzY2dNUzXQp5so/s8J9
22E5GXxCLzN1YsymXoeVzOc8LCo1eqFlOlhA6PYsaoZpsO41KC/zK/j/PxoYRkJ0jDz7z4Hh/7Pe
ff7b2V2flGn3HBL+9qvfIGH5u2G7piNAbnTElAC/3xBh83d4UWm5DsoOCdxCvMQfkLAERvYkMLHp
kLjsHbMR/4CEjd8dSb6uhyXeImeCwNq/AAmjQvkZjaA7L6OpegZEtBr5Rbsxzbpw1lc38NKl3FvW
gA4ezYy2rWwCZKj3/2mkWspYzZsKbOLTsStgJdH0LEjQyZGaZxf9wcA2M/mtG7WHJ4tVKXAxwVIM
Ymf94LNqZsEo1k6l0cmT2WouLPN29Fbn7KvhSu8q70sW27Z+klZMEgKKLNfdk/Uq9diM/Ehl+vVL
/9UYtcMHiLTq4cmD1aQzNjRlxPgt+9ztrxPo5E8ZCfxVEGVl9ebJkjXBvl0uc6MWJPFZIvDWJInp
x31eVxQM4z89Wl0NrAvSkRp4B1sD38ZI/EZK99U33m4EPAUMSQsF9kjFZhAXcdnhZPjSzcjavjdy
EWhcv2ssO3rbjmLAGzniKwpMIef7r74uysQEq2EvEq4tkrk9kxnj0HqyeKHCiJ0zA3gT7op6/m2u
L9rjD2YvbVxmoE8nte6/d3whArX2PRPS8VX2Lqo4p/bm8fzYGOWbUjjqc1GB2LziBWtsG2/kqDLn
AAnNGDMtw4+x7ZK1nQMXdWt0a02tVIHXV+6jxCdunlKVFGedRRSdP0TkOgTZgMs1jPI43c8YUDeL
QZEbyFpUyG8QKFFwqhUUyKMfHvcYyfTPEUOx7rCPiFsz0lwZ1ppgVBii0BVJsazbcMK+pADQXF2j
UenBJBtsnNN5OVWuGRYArq6Ps7iuw3mS1t6T5RRtDY1k6KskZbBhaPE4VxvQXAroNkHjtcH1I9+a
qZODNzZaWfqD7CvSiURLr2nMo/6ojpCcNqSgc0O5xl3YPqF2mg6AJ7BFIgArPO+6OIJ8TKs5WY64
n4XAda/rMCxMs2gO8xEfXKGvr6wChiMQbjO/m7UsvrNMN0VL1+UnzRFn7IzRLFHVgT46uWe8LZq+
5FzXBHiyVJPHhhwVw5nIVlWH8gnMXGxvbDaqW8c9/vn4rWc0Y2hMjffYPUGi84DzzTvipCnC6Ps4
OmKnbbRcrE2srtKq106HI8aaQdwMfvwEvVqQP5+QVZqzPzwhtOURrC24SaE6Arh8CHXYEdTtj/Cu
AufNq7yBIG7sw3pEgt0jJozBqTgMR5wY7wCQcTXG2A96erZgOOLKjbOuQfoVbCZudQkgsCS1rlmf
lsggi9B1jndtcIzogN1r3i82tVrSlXqzmRuc+fBQBT4YTQeOaTunbzZcHf1ONpZ3a5tjudF7ZHv1
WrxZqkoF8YxpGj10tZWaC3Uwy7G5seXknZVNMQdgtelDTVjw6YggD0SbYeasdcXJlJnphvgcNzDX
miaNwYRhgUVzI4l0DFvldJt6VaZfLbnD2AJLO7Xj2fpYxH2x+ClWiZ1UCKSZ2JteaFa+nuP4EJde
r3VhgkUq1Jk0e300dl+18RSF1Mku0NWYtztbJdaVPVr5jei15FE4FUjGsYjajK7hna3lnO2JrU73
Y8V6X1mxdopGWu4tZVTMk5z7GReeKsmck6XKN8JU632sef2eQaLpdakl2YmahzfUm16BGSK1QPwy
zzgqFr2zustx7km52G9Wvel9UgnhPlpokVO4t6W6tCJ0HtlcJ18yJgZf45CPboxmzguIFuXdx5TC
gdZ31gVgZ3enytL+qgb5H1ycCJ2dhX3vV9WJf1eMDwmU9131fXHy569+q0703w1U6oZA+fu8PLH1
313XMnTXdjzhwVlTg/xRnhi/6yygVCaQXpZpHuukb+WJYfFbcNkw2UIXukMg4F8oT6R3lOw8Y6x1
aDHTcA0D86tnvFTx6ShLot4m0uWr3hoQ6ogVS5IA7nCIRsN5VCjLfZstgzvsZsOImRi1GIO5JfuZ
ntOl20tvst6beLNsFYsw80Rpnhe1BaVq2MxxGHiltbg9IRWV8bDEiZQwB3TbulzPk3wknIaztPOT
JEZzfEQiWheIxxWLDZ1ZFev7tB0wDE2GJrOzrkfpGa5YTNC/w2PiC6kaIz7MXby6kKnSNKLLGt/P
FIJ1SXVXShOR/Nxpa3qAvi9okZbUKzuyPqbxxtbY6VhjwKJjfyyqfJpOe006ESa8yY2PDqvlsscR
CquqIaABj5mMGUOr201ntV4Y4jIbTbe/TU2Dk/Lg6LudSqJ+PkR6BltqkTQttliQAHQ0yKDdoq1x
cZaVqL9uPLMZLhfPTfJdA603XLJojPkmynJRbsY1Ikqe+avtld4vrYlXr1jMEAqm/WyKNToUeOLV
eacXWeeLuXQvK9tQCPhXm6aokYuZB5aJI8CvdWLAzzqU2BcDcuTa8TFG3XaLAhsTcq2KbWxbbUZ8
UikKf3YF/z4hT8UJdLu0JYjcuCTcN6UekzTup9POsDNtk8Vzmu90IiSHy8gdteQ0jRegUSsZSU0b
m1yF82jW5XlTD7NzksyNFe3bBg4hHRLPwG4b6f1eHT1eG2CFNfk0q4knqp2qcsdCm4sTI19iDXdw
W2f7QtAz7zGkGeGqW/grkpQM79tqmIro6NPTQ+bK5MY5k8iL/vOymninxWgNn8Z1yqvwRw9iDw68
+HIwdHxjRxMiBWKyS2Jv0WhaS4OV+f+5/TCzO0ryWJ9L5ATr+YCErmVDVslmWMDyNgVdqQHkgHo9
ObURVeAIqJFpMNPyvZU2ITUWIwWkQ3APkTUr8QIdZESzbXC+rz6mOUJt8CfJZKdiI/8EGdQYWHzw
M3pJnD3MtSXPvvM08m1IkekWMoACpc/Foz04hFt+NTbCqQqw+Qmt+llGBsf8iLU4w1tnD+/Nsj+x
i+ERa9LerlpcQ5Zx7dT6e5s0tG5rJt30/qsBEqOu/S5b3HNmOMl3OMH7UBhN3QX6oBxECfXkohZw
S18Qn1SFBmBO6aMaNQxANi1D4kHhcAB3UpuImh4fS1tOw6Gmd8H0O+Rfvlklm1mvmnOzzYnSYfc0
j56wtRDbzOMMv1onsS46jl9bU/QxLZPsvVbasQ63JLMwx6aL1iHWx/EUlCg+R1Zylk2ilFiBnbnf
WrNXgMbP3JfzZEpqICOhRH9iqlYlO71xRvdzh7HElF+sNCk70LbvrZYNl2/kUIbxh9VyFKTzbOiL
mh5k57nLMnKFl2xVGg+ufOaydEuzViey4UVrL35lspz6Bs4gTs3cu1lgOjCGc7mG0sGcAcKzh7fK
aDyl8S71WKXcFNAXVJ8U2PbBK6crAT5KB1NjzM7WB3sGt5/b6rFqYpESss4CYQsLFqTv/Vp5swdZ
FtknRtzp+FSAXdJKO8fAZPN+OV0GNUTs686wvOzcclVzg8Wm3cS4toa5ZY2s5RsHicTbpnWKU6S8
pxq+4Y2BJ3HqZveNYRAxaTfLwKyBY3pFM4WeqcWzb/dG+qHCiXelFqbLBDHSYo9qnRlw+6SZp4aM
I9xAQhtnO8BWigBh9hyxc+gY/Bb69n3TViJccAGyUE9q7xqtPJn7asXCh5ddsCU44hHq+aw0TP2t
teIBvYSk0+PTxUYVglKEqCLALRbmpiicD7zKpEwN9ZXheFe9wzp9/S96Tp28XqMtzwhwGv50AqSe
eU4thY8Ri1vvNmFUd6l5+GvO0wGnBxRcm4viJ87T3Ozn6m3XdfTlf8V5aiVeAhsbdaRkJCnOtDMa
+eXjiPQGl03/K+cpipnowohNB4nCK85THDyD2ohsiurDc+dpATOOPCybkV5IqWEF+l/n6X+389Ts
3fEyFblywv91nib/HzlPXYKwz6ZRRcXpX3SeRpGntuS0xFeG1bPD/jd7UJPRyA7JWsLa/kUP6nf9
4Te58DN58LNWi37ONNhRTevpP6b9chKCEm6FsfyIwpWCSNfJH9kZG6YV9cuHpd0u3Qenem26ABD3
d+3dH8cE+tat49jpl0GmBjyLIFOs2eTG2u2KNY0C5pjCOIn1jTssQW44BBF2r42/Odp6/uwqvx6W
gwLKC7rVr6D4d565Au/vmIu5YX5sfmiQFkT6oYzmN7++oD89iod+G7G1gfkYLfj3zrzEGXSt7lfw
JofMMCsCLBwyAmHNMX4lgfcFiv/thL47FBLy7w+F5s5OaoCrDdNCQa/GOSSi4dJD59SS5xyuURyW
QskwIoyaezqejWn0LrXlQ4O5+9dnLY7eiZcX19GllAJRH7THC5F570RtnTdNsymtY6xCETHyJtXR
4g0DKhBVd+5WKMvYTlFr+nobe4go4s9jwvdMFIKP1DO7XW405rz59Td77pj4epGONAysCdAFMvfn
F2msu2LsUZeQ7pfclYP9lnCYNhy8+hb47VQrtL82VOzpgK6OeAwS0wBDeRlguqyLFEbOAR0e5Rlz
dk4eGNkhr5jujhabFxecw1gMiyR+Q0fg//y81kmJdG7BNVdCK4tG3yUzIQ/OddP1J7++guI5HPPH
Gf15qBeXsPay3kJo12ymhoilrt2po+eU9lvZR7GvFhhmHZSrFRA68pVjfOY9+X55+vHYFr57myAY
QBLdAHZ6fppWgY8JABgCSjzqdbkDz90fq0Qjfqf1X4iB2+olt5M29JWTfk6RcdLHAzs29i5gMiCq
43v+3WpRucSUxROiUXwVfqXNTLXS/AWZ9lyEdbprq61Lzkwu3zXNTk/uy+GVdQQ07fn9PR4fOwmQ
mm0amEieH58MRiVWZO5Mc49PZgTMHMcqzxevutb6CfXlEjTiNT/XDw/Vi4O+WFEYzJKaYqq52ry6
2N62g2EDA7MbVPMrF/i1Q724sYJQicbL6UlbdDBniYHqsUsRlxEvtKJOqV9bLX/YdI6n5pmm5emu
5TjWi/vJmOZuWEnG29AoH/QUeYFnh9xFlqcNE5hw6X955Qn6YeXhiK6uk0UHlgk7/OIOxrnEl5iW
88bWxClHqvUKwmvaOGn3rhhEYOUIotqtnWVX/I/eXfIwER51/FJaVJ+tKJl//Y1+9kh9/4Ve3N0Z
lK13Yr5QWkO5WOrcPYoE5Duj/kTgTtHUgSVfMUu/dsgXd9mqZnvoGSG+MVzyD0lQrYz7icSwWps3
ESvIagJ2DNtfn6f4YQ9+ceVfrI1isixbiXzejIjiPV07gbfEqnDKYHp/IeiGIBoyws69/kuzzoHN
fjCDuEIxpsnHX3+Vp6kQz5bpp69CYeXoeLxIT3j+GmcIs6KkQ+jELJBjptlZDvcqAQhBM9WDEiee
WXyc9G0lPxwfSgfp7sj7ZiH4rb1mV0Kr5PT0PRkjx4ei7rKnM2iVvBjh4LREnrpoTDhOMNSfNTj5
rOhesWKK45P6i5N4KRsoIrm2XdxyEjhLfMN7I8s4SGV6AEu4GAD8bB5lnp0Z5dfxXXrlGh5v168O
//JFcj2CahqWwm6dbh173awm99KdT2rL2xgi2orlnaOaMOaqDsO5ysAlR+KKWDDlwUGhdoxHyyCs
prnddaQxCKQzVv0JK1/YO6/c8Z+tM67+zxv+cmqZWRmlm7csoWQpsnbXG+4s7PEuNt7a9gO5Qq/U
N08ZFT9eHehzBHA6HtMXu3NitIlqdR72tT8vWjLCidnr6wuPt4tzZGVJzE8E9Pjdqm8drXrt8D+/
OX8e/ng9vtsnZzJpuszJuDlJcTpE906/qxbiXnjVji8VL3e9msEgXX9Z3s0pKVPDG0e9Yof/+UVA
PWPjs2SZf1l+Fu2aIDFgN9FK8R7Noe+xkDascrV7xco68Krwxbpq2zOuKszV518/oj9/Q4RjIRnR
j/v1i0c0ci3ZDjO7S6XbcDDVnkMJiVqNILPGfmt250kpgrxw0SWM4SsH/+kjB2dHt+EcJUUv1piO
nPsmFTxymqNt2+zCYiB8yjJDxvjHXiz7zr6jYpELGhYSsIhCqzZ8vWZ0Dumon6LFJH27qIPX9/if
Pht/frEnnu+7Z8PRB+xTERvOkOjeJmaydLhoVXr1yvn/rJTAemlBGHqe+8Oo8AI3KFrvbxttbN5j
QfDtzrlYsnNeBGQT56Y6VwpN8NbMxYZFAYbwgo1v6dT+19/lJ2fs8VUEzl7HOP6f528DvFcBBB/N
mwaFeNvWhyhKX3njfjwELTOZYLRarieslw1NMhS1ofKZwgmLHUnU3pe6bl45jR9bSzhgQdHpHGsX
Yb8cGZtAbFZ6O/JWV1tH/zI5CgfrJ0oGZ7RC1hSlS9+OngoGoPYAQ9Gvr+OPjzTVPvo4GpsjRPCy
dkpyTARIYxbaSey7YPY3mB7vmL972yzxNlvaOzCN14aQyR/2meNBQQgQ2qGze7lXk586xY1K0Xf0
6MKle7Ey6NsfzP9L3Zntxo2k6/ZV+gXY4Bgkbw6wmbMmW4Mlq24I2ZY5zzOffq/I2t2VSuXORPW5
OQdoVANll0IRjOEfv+X8LREM6VowjuFKt8bCMDjeJLpSGqbaofpcVa03JeaOIq6H8+t3wm9iDGHr
Fk4TCdlj96WJHYPULO6LaRd39VR6evucFVeUjnrch3xBa+7eLlpeJz/bwajypB4c+KCkDtYXclQr
Q/rZXPO1rrI2vpF+xNRRXhQkj+dnKi+3j88fE6WY0hEY2tQeHA3Zkg6mLpqbV/ppPaZTrDlrspWe
n/z+0zvjDj4/5MlZcs9QjOGq+PhyHx3MUo/1lEuIWcIQX9Kru0KW6guXSzDGa+qPf2HAnx/wsyfB
HF1qInSpJqAfn4Y2GjUAG/J16eOvUdQu5NMi77T6O015F6y9k6fgYLCj2TWN1hakU5mdOm2DPFvZ
s7VAEm5zfk6nhjG4Y6gacSxhfNL54IwJc5rGVRFNP9Nyfi1IVdl98+v8MKduy8NhjrYHjfNWDTt2
XKlZ8Vog342vfn4E+ROONyAlmkjvEtBkLkf2l29LEXrdGFdARH6JKbhznWqHCC9aiuBOzo91cjYU
CFMBTAkx0ayPOw+0RxcnieBBjWZ0GIVde01W3Z8f5NT2pi6I2iAKhIl/HE2otPOsrQQ1vzLGgGsy
TOV1MN/rRbWppPEcXRjv5AJSTiSrmzGgPr01pH01M+atiRNxhVTGt5L3G8zON1TuLuztE3Ya9U6O
KgwZ1aLS6chUSvzRUej2mlbCVKm6m6ksaT3DCak5yWnbpAljzGmwX9fl5uLlePLjuaiDcCtTJXds
psV0IgKqSqbVOJAQjMdWQ5U7my/cFSdMYab41zDHRldlgNlyWhQ2bb+moSuXni6ukPyQ9XfLqlBm
UD11erao86wuDH7qU5oITDq8n7IM7GjrhHE2oQgQT6uKEinVV59q0MSlCz6iTnfnd6n8UcfHzkQn
RSCjQqHa8a7JACGhx0jtdkLcooK34IFWuZNvjFnNW7dIlufHOzm1g/GOpjY4xqCHcjyA7Ndd0d3V
lb92zOzLpEQX6HeXhpIH9OB9Cfy8pIusm6hndZDNDbWrLiz+0FXEBuiS/b+aln1ksPYBAjh92U+r
snFuE55Kt+i2WV3QUNk8nx/q1L1i0vxgOoje8FQfXV5xUPvCKusJQeNkkYb+gnp66aTzSjvQfDQ6
6s4PeHIdDwaUf36wjj69S40vGFAIp/szRDIACgnREI/jSyJ4J/ejSVml6Wq6a9pHkS6ausCmavKj
0ceUa8Mt7ZIdEjsmJvQYIvScXHB7Ti4ntyZlYA6VoXsT/mB2FMPRlG420yqn1wdVDYdeJby6hCZn
ZH2WetuvhDZdiOedXFJH1blCdUuzjv1cFzlx1Lmxy+F5fHGnBtm/sdrWTvUDmMSFz3fqvqRPhlEs
fKlPmRvVnlQlRqMUX4rAjgzuhCGRhfN75ORnI7pPRtAUSLwe7ZE85AmcCyZEMTyp2KT5A3faXQiq
jxamHiYEDDTjwiKenNjBmEdXCR2mMXYxY6rUsqO5lH8D8/CfXI8HYxzdIVoDEXG2Q3aH9u7k6hI/
DoX85WxxEEbt2/lFPGWDE1f/1yIeg3ebFiUNtHToo2nX5DTWDpJGRByksntlouFM6+HFkM+pD4eT
bQsSNZZjHt//Rq2Gph2xO8Le2qplubTb5m4fyKc+LQznC0HIU1O0qPBTabtw6ew6Ot5UdTmRWzEc
flRg/KEX/daCIkEsgYnOMp0g3Asvzkkf7nBMuY8OTngTpuSs6YFaweXxLEMsiORpwXMWg+BWb3Dj
pvy+pqT+/Mc8ubCUvWFfUtONAtnHUQMYD3Y5F1xk5fBkBc6WYjZCiQndnX2C+JLtthfW9qTJYukY
ZKT50Dk/vjt1c8hVA99xZWQGqWqcVHVT9YJdY8qkNrL7XhCmI8L1c/ug+7b7Kt+tRUmk5UELaUP9
T1bgr1/naN1HHW5dOGHFkDv2YB99bWZCZ6jZdxpQh1S94ECcug4oRyDMoVOMQcLv44J3vBFBmWKw
pWHz7kZWvUhnyhXPz+nUxY2PolsCH5K4itzfB3tJWLSuBko1rQK9RNGiVBeOrz92Q4AOonnhfrsw
1n5fH4xF9Tb8jp6xkCRemCkdsjAWMAZTJbzwpU69gQez2pv7ByMhAEYySWUkVfYM9eqKAt4fdGV5
CnEOQS5Fi6JLp/LkmFieuOEW/3ecSLThd2pmmDO7OPyjcuvvk0ghAyRUnQpzqQzxFRXjN/1or6Qf
k1nJqjKGH22Y30gLTnOjx5y0BX//eg7y7fmvfHIrHfxuR69ZILoe1xH3hqLhLwE3UppX388PIY//
sd0NS9XaByKQJzy6CAHsWhqtbTwsQvvp9M4NgrHXZi/ezg9zeiZ/DXN8C7XILUYZXzZ3x7upF3Aq
5+zh/Bgn9+nBVI5WazZIUBC3n1ZUBy67UL0ndLXqxgx5svRS8dHJ9+NgrKPzB7+IjjcbW5RusGHd
R2W3NcyGu26sm9swL6AtGJInVfT0P6SVdWHXnrzUpQwkcpO2TvD44/EHANP2YSKxC2aLlnKY32I1
XjUZEmtGnuMCa2F+4cY5sVF4L10aiQT5MFqHPg6p11OqNIV0mMhwDnq3jGrrqeYpOf8RTxxHim0M
DakQCyHN49tT0JpXpzkLa47ONa32V6pdvMYJJpxWXHXteAWf5FIU4VNBDEeMZBO5BqFq+PNHBhzE
iRxNI9kIGKfGj6infg0dGAkrSvzbljqRdFQyOBtCoBnXXLKLT8/4r9Hlnx9ceuHcam5tqdAX4geZ
96UXAQ7QhkzzFUUMc/33o9Ua+QaTXWPLNT7aOk0VdLo16NOKF/zW0fQtQe0LQ5zcKgdDHM2oV0qV
Lh+GMKvxOTLHxybsn/xI35zfKifuFGZCR5RrYd4Q4vy4cFoFalP1J85gm66qAEhiYcWXnqSTgxB1
pycW4b1PsVpbbUZ0+dkbyOw+yGiSUrjf/4N50CJm0M5AleFxECtC7Ep0hnz1Jn9Zud1Vbul354c4
cTXKKkkVX5bLYi+We7jH/FZPkAnhi6hhukjU7iaTBUFw8xTt8fxIJ7+963CaNGok2AQfPwr6f35X
Rwq7eVRum+zFzMWjY+7OD3LKlAbi/dcoR5t4muNRdWfwhcLob6f0GeO5zl74JxGPiq5uRsSqvzCo
NNyOnsoPgx5dE6gJlpFqMrXMKOmrC5doj+60dr6O1WArqzwUNNVs0Q8LNK+CxazZL+d/g1Nri6HC
6VXZjDhoH9fWFw59voXGFUwfuJvH69LyF0VlXHhcTm0WHVgbHaA2oxzblkpduAZKV/jQiJaMEqNS
ZTedAMLi54vzMzp1uqSVjJvAIeYS/jgjY4hcVFUNwlWjhv3fyv4o8fv8GKfuV52uK4qi8S7V4+7T
poaxVM/VvDJGOq3wdkIa2aWQS5CUoNa1TT9cuJgujah/nJWdxAoKVIxYpDSdUcYqlomvJPe53bQ3
XVm9IW0xL30fbNH5qZ76cgamHCLIMoFxnImcY7PxbSOYV9aU/RLJGG7NKQ9eaZCpVwqNOBe+3qXh
js56DfesCZN4xnQuRxRZp3HXdVa01uit2wZg1Vbnp3dq/yMXSS6Dqgyd3flxXU2A183UFTMbM1z3
trkBhbkl2XxhWvLHHJ/zv4ahA/rjMEWqOoiwlfMKrdL7YGxu1Da5rrFFPGo4V6aZuBdsnlOnAI0Y
At8YV9jIR8ZkPNhTg34rn82prsvJedFK58KWPPmppAg51dykE4yjpWsnc0KUTJ5p9Belyx/TedzS
siuwcs5/pZPLx9VMtYGJlXF8S9mjUKoQMb5VTyWzI+INGjDXY3wL0u9ybeDpeUmFHQoL1E+hBhgX
NWYphUn1gAJZHv1QauUODRFklPv/4FqkX/7fQx3dvm3XFVqAYPOqypJn1SURTuBGuMqqaqBlnl/D
S9M6+lw+kjEIkjOtOGq7Vcgp80xyhWgHz+HO6YYLO/7kwaKQFkECWeJ+bHQreaNBVWNqRpurt+hL
6zs3VnY4t5cqki+NdHQ1irTXo6jnyqB2N1wU6nSrOEq7nPXwklF/6rVmjXguBWr+mFYfT7EBA3OK
By7hLB4W2niHZ4h2yvccInIDHZb8WYUITOHUi4sm9qn7/2Do4/rKRK1pFQWeyc6IvVGZt5Z4lmWV
MamtPM3XVXnhdJ+okJVWAdFMzEjgBMdJ68Jvog6dk3k/rX1ykEQMZZRz+h4DZswpT+YdkHFNyuY0
oquJggbApRLpzyefLAJ0AiQlqKXgpHxc8oD3J0lU2FWJpWz6KSAbq95PIWGL7rXTLzgZnxf542Dy
zw/cppSiqlz3C31FpUacv87t6BkkfXO/3xbx9wR+2vkjKaUyjp4FBpSKHWScMViODwlCKPrYzLW+
8pN5MeoAagzJIFhjPpTlzvSH1YS4P3VpavpMkahZxCi3j/QTp1exG95qJWfYukn4HBd+sc/u68df
7OhMsRMzJbP4xUoKsrn+r8ZRQVb7S4wug5BJVGtcJyiXVvPv8yN/vqVsne9MEII3hZL4oyNm63VX
OS0psTCMjZWqtrCL0ZmYFIStzKzDmjs/3ud3kvF4VhAmMTnV++Lsg09Oab+ZxC5IFtPKabOmK58u
/FlcOEyfNxajUMVluXIkfKaPG6vvw8oKUog1YQQ3VaB1sTCraoXAAdJDffKAVuEILePSfj7h0zCu
I6jywOTAnT2yppxyVMRIn/gKPfBljX9mmi9jtU7DZNlMt0X+GinfRv/h/JJ+vo8/Dio/8cGS5kVU
aWgNMNkyfxqBhTT1eFuiVvGfDOO6MnCE+3lc8TSDs8UcjIHpGC1tN7bR3oCvHXazFgQXLv5Tm4Q+
G5pt6NUQPGgfZ6RbjVk5orBW2aw/xWl1w/nYnZ/NyU/lEEIhaAQN49NFlxKhSme9sVaVnm5QgdqN
1PabubpGv2nrzPobdM6VZdU75M/ez48tf/2PxinJU4NRXTwj41PWPUE6Gd0JzoCvoQLf4u2OiIwl
XlvcdmHJ87IzFPXC1/vcDUjNoWOa5Idl192nq68Y5hqtwc5aISy3QEHrqffvdXNexuO6tr4z9DgF
eMNo/z7LflNHhAvlUsbjRK3Px19CP/qwIBqUColXqvBRqEqrrVXfBpG1Yfi+uGuYf+ysk3E9K5e4
hp/fNUamFJtIGDftp2bIpIDYOVU+/EQ7fs9M6u5V5VpHJRdiwhVas5f8gZPf+GC8o5vARQWn40Oz
hcsGUXXhlSCR22GT5cP3fm43SJQgRpor6/Nb69R1fjhNeVcc3AXT5AgnxP9eWfUWyvVzNloLv5pu
0Ea/MNKpW+dwpKNbp0RWbWo6JhiL5GakyzQdkzfHvVQwcuoqoHJJxpMRPfnk9JSTDSuRNlXoeta7
0/ebTO1fz6/ZpSGOrBAU3OfKmJC2om/i22CZvyLfiZfnxzh53cjIoIVlxdsnNcMOP8w8DCA85Dtr
BLmnuT+64iHJbobhEaXd5YSXVXYD0MYLZUsnPhJ1y0RY8UkJzhzblFWhw2PWcgElj1YD9Be/jWnw
UhrNBefjxBJ+GOdoCVMtqrrYZxwous+U4kCmqC/stxM72yD4g9IpXRVEco2PC4g2WGXOYyZW8LZ7
L29oXqsrukk0ffhjsNBDOv/BTq4czTvYWrjbNJx+HC7xtWgoukKsHDF+QaHwOjKqO0efLxgql4Y5
uhANSvNowWbh/LJNF4Fd7EzEDhdxla3Oz+fU1SurLC3pWSDidvx88zD0FLk4kEH13rN6dy03Yjj8
skuiaCZt0VRagovxAmVe1uOF1/bUxzsc/GiaGvqRKpWW1kpHY3+pTtQsoKBPrx88GYhdqXFh35+4
7Skl5amzKH8Ct3Z02gpkNTGGLIiFlvplnNO1ShVYQ+N3MZt3HejS84v7+bLnirIwZ2XcDpTY0WYZ
FFDZWl30KzS7V7T2CMd/Ckqglzy1Q6hvKepURHXhSvm8pgzq8qbbpNpkSOPjDp2YYJnC7KDb/EdZ
iXu77nZq9Tjk9+cnt3eKPpor9Ohis9MWQW4Z7/TjQJkSRFqVuP3KmXtoM/OqVR4s60Ybahhs0ICI
1DiFsiD1NRPT80M38jRD3+Ka4qDLalfZKTkW+UMdBMvA7nZWdiuCekdfYBRq31z+2yrJZc1hL/JX
l26W0mpWeXHFvzH7FhRbsrYi5Q9QZ7JlwuEnxul87cbdyg4vTFY7saoWE8X9paQOT1h+6oMH1FCd
ULSonJPkDmI4ITS4QzzQIveK7pTmUZ07EGmhyM0SWTF9uK66oAFhkmJ1rPvRMLvNCB/udtCH5gty
X1Bx6IUK7xHRU4oL3vPnu8PFT7dI0NBC/TnNWrRtM/JuSqlk46UI39W6vrHKS/ULJ14u+rioG6av
Quaejqu66GQsq1Yl7OgUvb0M5tbdFBnAlr400PkXxa8+1LtdAqzpOhK0+LXZJdD4iW/CztPIZZAo
pKlELsTBN3HtISnnkJgxYr6LoXeQc+2vxvyFF+fCQf50b1isJIuq0TWA7Pdx6a3SR7mA1ydzbMqz
CYs9sbQHmv7vnaFfJvbweP5ofR7OQtaTceAksLrHfaJ+bSkFehEgeDVkymAhfM2T9OsU5stY768y
RTfW+wH/lgTrbfSzLprid3uMBf1AEoUtyv+O/4oc6N+00f9nyKHEPDE4/neB+K9dHr/9OFRflS/g
/j/6tzS8wWtBvRfNWbiDFjvwT2144f4TV5dvxPWug6U2uNr/Jb5q/lNFj9Uhj2Hg72ML/yW+av/T
Vvlh1MGT1ZYo0b8jvkq1Dhv84AamNIwxcIRxVpEw4aL5eABS0RsVnSHDumsHcROMACkWauKny6bI
c7FxRRgjAR4baAeG2eiqcLGqwL9CSTNzN808BxoxNatzd7FdFsjB0TKeL8O0t/zlYOZK+7Pup34X
T/Efk4vyYFzV6begGWfjtqzHfpE2VmoQctTLtwj44/Teq0bdrbo2n+l7qkNkRFEwXiNs4xvrIVXS
F0cjcph1HaKFAYycOM2sd7+PkocsF1G7QsnUdzwthvFqj77/pGh0CnuGHk6Lou2cYKW4k6HQyyXd
YQVp8omY2FxF67Rt+wSsnTq5Gzcwo2Dd1lmsfKWdyAAol2TuQ1RaUUZ8Tx8hUfY+pLAgHXzNs/Ow
RyM/akL1qyMAgBgz3j4yj4b+3mUq7areXCe57zljEAiSHa7UdU3SQCzGoJojz4RzdOfAqrozILVd
w1t1WsNLB2eMKCfLA3S8G7TVBe20pWdXfkoblREhMqmM/WPuxzj4fdAPCHM7gxcVN3Ni4aIpyWJI
izRYWFUae62IlprbLfpRfdGJCPte6oeGviyLwFlORaQPiAY5wVWt5xBzCniBjqtUC9+3zE3do+0a
qk3uoVMYX9W5k267xkW2Vp+r7VCmEfSJrr53kjpd1ijeb7tSIeBYKaQ/9CheG2UdrrR+QJzdRkew
qWPxRU190HOGepe4NZ+izU2EuHkvNqIgQKApAfESVZ2XhjnEd0UqkSlm88OcsJlHC/aIj+kzdwp9
LepaD5LeE8HgXvU8JH4+3pf6hBaPrWzyaGN0ub+OB/3R7FxgU/74PAwICdAaHRffArVJFnqsaTdV
m+XLkeyXp7WSsNGLYBmF7GgP1dv4uR5N9OiReS9kgkI4mXtdD+UmNN6DiqX0TFsbroeweooT/9lP
RbwG80TDZ2vfUo/VLTQUGovIgiUGX7dNrOhF1JDosspIlqJX3Fs7QHrbDu/0YfDhpAWYASClPCvQ
NK8anGDpqjUf08gnz/Tnn2M6/c5auGwQCVRnoQWmunFLO/nd2NSwY0e4hTfVpflVqzJt16L+wcJn
/fDggiF81KassynfTvUvwmwhO2ZlRE1TFN1FSAp8GQt72FWtry/7fnDeG92tViKsrT+CMI5/aFVT
XY8z9XNBJfQHfayN63QWzms1Gj44pSlaq2Uo1mM+1GDgjPB3phB8Thq13jgE5dfQDXJcnkygXQAo
KmjH4c53U2ubx1ZDuQbqsdBIH9RioIHJdOIFSLxoNU66WPRJ198TTidhojlZSS3UYHyvptB8naKx
ee65xjwoX4oXuKX1PNDAQePTWPzQ60BZmkEf3FZpPm47y1e3dtg0uyzj2Jed6SxtTPsX9rD7JtDb
R4UDO7u0TONX1PbK91zE4lEfHP1a9DMRFwgRMHIV4JNU7swpAsitedNk1F5QpJE8VE5Z/C5hLWzq
2kl/9fUMIbO33CdjQusz9gfjp4+K9TIJ3O4anFe50+vSuBOB7j80s81vozQVlndr3eto7V9Xeuly
XbjKmoJM60al6XWlR3WzRnE3pGe6UjZ60Cm+59Z1tdRg+71WlRZcRdAN3oKsSddZXFVfAwAfN5Fu
cetEbo26kjM3V2ho0OEdQC9dmJEm7gfFz1Zhqijv5hR1C2RL6Zvrfb16qwcdiWB3dr7zrigvtV4q
NyKpW0iSWrkZsGzhj6Ed1bQmolE0riObmtfkNZBkRjrYgLhhRgN7tguCmzC16pU5ueF10aTEKicn
uU+LIAi9mmv164QMyM9YN6P15NrhQ+ajGitiYl60iqiLdhzj5zI2/de0tbONj8TcrnDn8t6Cs7FS
UXP1ulmNr5BWEpsincevsRYkN1RfRLvZ5IrxWtMJN0gWlKs2bx7qwRqklrh2rSZTd+33CdClsBbG
rup9YzGndbQO4ddmxAaa4IsRuSb4wipI3mrFsK96c0o2tBZyakuQyY9ZZk1rFZ7a+zyFypU+5/pa
h5Hn1Z0DqKk3Zi9tpsJdpLbkYsE2u1PdSn9XpsJGvSMxAEFHQ34V+5Awg6wj1Tq4WcFFn4FIwi7o
Fl0gOGdO1r8mQ2Es8zgpFmSgg0UQxdBiK3u8cezGWoxoBescB0NroJP285tWGFNzC9pih3x3/S66
EgyJsBuafxW7BycSwExS+iDwBq0yduSNwvWkBsPOFAqY2ljzr+gFEjoYVcW8C5Nq4LppxbKzWvsm
7gf7vthjZXxJmAl8A6lbTP1sO0kCje+4CPBIBIAuYQBBCxYglICAQAMVYOypAXAW/KdEogTYQOFv
ywcv4O5JA7WEDgx7/oCKbrGXtr64L/d8Akwl99qX0AJhNP1zKxzop6Ckw6UPzvY670T4AAG42SpJ
Mv0YJxY8AiWHSDstk/AqISQMPbtoUUlwQiERCnoXwK6TWIVJAhb0PPCvI9TfV1ZlujSBxAb7PR4f
eLXD2xGidDeo28hszK9EaKtNsec3VKrqLwExcxFLvAOC28PSl8iHzuq1L4EFBqKx+ujO1SZ3gdo7
SZbM6khVMokqVszXWoIkbEBmS5RfuKokZqJVeyn9mw+ItCdiaUochZBgirnBZjAlrII4vbppJcCi
lCgL08jjn7j148ImRHOd5jbIiz39ws7jYh1KJEbF2VwAN74OzBetgZhR+UVGKRmgF0XyNHiFWs72
HrMh9siNphLO9WSWbbuaJZNDgQW/7SSnw90jO/I9vgP9vWxXJPFVl6W8n2b7VOpKoCPHazMrbJQB
xQIng9yX76nUtTHWiyoErsUm12ASOvGMFjwmTvyEbxUWXjSJ0PG60g53XW+F937bx1dtjiSyN2lt
sIixtL4W5UxRU2VEmbuOrdF8DJSR4yzR2sqesp1I4Dbo4nGpaBmVgrYGamHK2g277GsgHP023xO7
uwQ5pySxxl9pEeXbeQb+utAl5nuc/fSWuppsC1uvvO2Spi7v0tZ9tKy+f51GK6g8jXveixwFfnjE
D6alukEVBncfwngpYeOWxI77OZj6ZaUWjgQIxv4SSWc00X1BaIhl0Zn0mCWABQ0lNpRF4Af2opd0
c5zoedVJ4nk3Bc4rSGQw6HUvkej9UPqroXCCTTkgVQDiveqg50iSekwWD78wMXhHMfHGZ4lO4HcF
i/m9L7hZFlOFW+lVEtQOwcD6Xep5ft+4ofpHk839o6MNDfXz5PEbWGYQ221Jf6cbmRZP1epW7VDm
6QKRHs3xZjOya/adHT+hSzN8c+ivsihZScObes+br/bs+XLPoVf2THrebPj0VM8315Ek16uSYV9b
Odhh2Jug1CJrj7kXkok+CnGnA/PeuaPCKQRb2F5R+BjDYhRTgv5LGnwFYZ/cZEmawE2JVeU2TaLZ
WVL6X9zNuhs/ibi23ovYmZa10+cvTSzJfFlOb5tGfXK3pNSGx6w3q4xuy0JQva+LyP4TEGiVcfIN
gRZhvqfAo7wgNdz3kH2KVTAAOab9XIPaCe2c/omkDBZOBJzXU6LE0Fdk6+L3wiyLcZFnlXOlh6zL
Eql9e92b3bw2Fau7cqMCVPEQNdaTIL3zAE1PURfG4LOpQNMm3+iHgzLZx8mPuIwEL5cbEYxFK919
DyLbfRfhGLR3dZ2XHe9DZtJPVSjKTVfLg+Wg3j2CcnSq3+7cWfEqHyrhb3J4ygWK802C9FguqX9V
UgwPWTILvl41yGLatrjL4wjJ/2gERJVaDeJb0egrm9qsKXEoG6IPjZFp61ZTEsCatiaNnyZezi2y
0Js4GbGG/cLSv7R5hFOoWc2DMmukmp1RCWrEQyVtQxWtEqx8lPyZ02SaPK9G/y3M1Q6P0rKe4r7I
qwVrHRZIVRrJU536dbpydV6dJIHdHeV8FjU3YriQat0/gtJRwQ64tTT0JVYip7kQNnDQsH8GIkLL
1Ky5YdopQmm+JJmcekFQgKgo4t6+i4waf6TQSq6TPcQCODkwTkQPRmwX07itJOrCaMriV1qjGL82
9hgMq4gjzJIcMFUZNQmQqbSlBgjlJtgfEBkAaERzVHsiHFpjq9RhS3H0aCwCkeCFKBwVSCWKWxjX
ECahfuv4tiu9jNVsVQ6QCFau7/diDYytcL158O0JZYUCjJojMR/5qOkzuGsVoGrkiPpaqSj38elV
LpZ+rwc/fUkHGUy1XGMlsYeMPTkks6TBZlK4t9brRt36buSMVy5MRb4uhQgbVDAgIYw08AzAg6NZ
3QyJyO55knqxAbDUgXFTNRw0VJBrCLa1E932eT9uoJE4+Xcb6iiSd1bmFPCMW2AnY82sUPi/LfM5
gVGZYKW3CPt9NbQAdm2WKiNFHv1Y/67LsvoaFYMWX6McwPkkEa3xvYAepXT1jmI5U+M1LPICAIdn
QkB4KgbHfs39hru1Aq84bfxSt0hZ99bcLNx6IH8ABsNSV7zJRvlol5BV5tB9FGPTRcss5c1ZBIYC
lDR1e+fbaE3lsqwhAoAqmYE5JLqP4de40Kjboqw1wpoqrnBqDWBrhJ8bm8Huy3tY8ukORwlXKVdj
I/DMWQnLP4sd/lZM7nS07TDY9n8278XdW/be/H8QkvsfthFRrP89Jrd+//Vev6Xp9I//+pVFOXyk
9/r91z+e6ujHW/qP/6oJzB0G7P76kf8TsdP+SeqGYDT/IKGKhvRBxA7JElqQieShO0fF+GHEjtud
kKtKEQB/RwaS/0Vz1CAp8fMcYRD6JZhu/Z2InUWA7zBiR8aJSngDj0t3UTd1PmXb2q6tm6HQxVoF
ObGxSoCOzf62U/w4fQqRG6Hlywnpa+voqn1LVHe8J9qgXTtxaT2MVjLhX2mqtibCr9bb2ST04qUS
Hkp+BolQyghgihZ7vqgxStYopjHc0WbPIEXU7nHcc0n7PaO02vNKoz27VEiM6bQnmto87hnJjWRc
Upehj9dDi6OC2KUbdkgkI8sH/I+HplRCd+bYl3a2jey4npeBW8Q//RDx30qrovQaGZV86Ve8DToZ
vScqr7WrZo9yzaDCFT9rzehe5zzj9GoAD58y1eKBJWKJeUNpf6mtdZuYpGfWZpftRO8Ud/id/oJr
pV/rWmbXVz4EISgTkdYkK1zyKFjRTx+F15Nk3hoJ3BGvNERGRsad+weYkMMuK5ps2jgKV/yu7sYy
XLRapLZeZPTmG5ZVViH8amA80F+uRbzxVAJvCGs0xcbOrd7ZIApTWQ/IIPAKYDQOP/PRaDaRVfHm
BVkJ9SLssllZTmXY3jqN22yIUyEzTRRgnl/FXKovzWibQPHIzXx3qzo3bqFW8Pr28reu2yYoVirT
vUIYoP2p6gMWiDUOzrCcDL999tushejMO4OscaVOd/WeA11PmX2btCZ0aAIww/sgkdFmA5bKSxFa
pDsoG9HQd8XrGOnAnEL/zeqT7J2mofjWt4dmOc8WlYxaN4BREX2JhWub0ypWYp1t52OJedgE73gH
CvnL6CEiOrAOW53whORgl5KITXak2IGOr27TLKKHprbpZ8nUl8iY0BnvFbEYIvGblxKsdhbqyzj2
42XQwdvuVPtFFAHfXLPLe4Po+g2h5B/0PsVfWknoNiSru5PU7qaoKs+XJO/cNotNBX5rSwNBtIot
G7gd5JS7FgF5itLBkcK955tuzYaOdUIkZhWsHbv2f8XxVP8get3cEiIybrrcjHmga5aaKj7eUpJb
b1MhcGx4+SBMx8m2p+luS9gIjjNosk06xtlVtWecz1NzM0v2Oef0G1oRzrdaISbhChwShRjMF4M8
8C3l5fZdiOzKGy3tvKG1TsK7sqINMgaE0tqhDcC8qqDYXcNCkkGVgPZCotrDJki+Fc4wLzq1ETeJ
xLo3e8J7tqe9VxL8ru4Z8F0sefDwFkc0zduHyEycl7av3ZcJ0+hBVOOUr41ucsdlGokk3yodLdke
ABXM4qzO0xsdnGW/0AONF3gqjJbSyJb2+iIGu5lgxhmeJgrjdznkyXNoqsSyY+STQ0BRtvpIGS3a
t2QmNmZba3CPTV+9skfndbJ65Q9uGeVpNMmjRlWtvNpR8IYag7UoOiff2CTuv8TjpLZLRGnm73pr
x9euSmVUg970l0mdxtdcTeIbs1d6UMq2+gO0zZR5Wdj34zLCX6YhtzOe1Jm2Ac+e8XfTsJxLD8/A
DxfuWDiAvBQN73vSlS1xGUhZulNjAGUU92aNZXgh0gehx90yX+Vox5A6d+vnweUyq6zatxb6UKe1
53aTIAEQK7ZFI+mohl6MfPQ1fZemWCS+7e/CLKoybo052sZKNMqfqL1SbQMeLzTLKfGGUSOkLPWz
miLZRSrlbuzNZTbF6yilHC9QX7CItaWfhso3sy2/UJf6NXNRjW1RWoij/oedzBswadRmiKaxF3ll
qK8gZYutVXbTi9YVxW89NrM7x8qo/JcpYJp5wi8EYjMvdMTWtoBup7pDbiNzQwoac4f4r8ienVG3
HS+ijmb73+xdx24jSRb8lUHfSyhvgO0BtlgUKVKUoUy3dCnIpqksl1mZZW7zb/NhG5TplaYNeqcv
C+zy0miRLMc078WLF8FrZzhO8hJ23tg7S5iKSwajNociYkJlhQdZ03gOXNPFsCVlJY/bIhhNWtYT
OahlAiN5mAcMaRk78lzwLt/GpXLhsGCsUxNXrEglsKnHIBjKw7CL7cPa147eh62rvVYkd+AQNrZz
kSuIAVmWXEEwIMHvPbHhE9Q2unkAO3YoJdJ+JRLwoQH+Y8mZCrqxSIGigGErB2avfHToFrJhQI26
RKAdvseQTATa+uJKV3Ae7KTrZLFpxNxoQDACEHKGFgMJjw0HYhoJ9ewFStAtVnTOt03jk7VDatfG
5t1BN1iKur4EVwhep0PQ7Ph8LsSXTcQDOm94Xp5NQuWXUjcC0I3jr0NVhE5qlOsujTuI/UR35QAU
nwOANDDWU/uTscRnLnNGM9OR2p/tgEhYZzEouylp7gj2yCndAQCnjVOi0RfbWIYkTs7hjQsfi6DL
2bJ+6hdHRXJYTUXLT8axyyH+bCTAVhiQX5SlVkjGdHEgOlCo9lkPhcRZ0BGByWQb56hPIHiedN3Y
LR2isB6FQpZRamKMVR6X45njRPmcdAnLPG650HEQql+jng0YTzrFKbHqGphb7h80ZT/uG1rBM1aM
lKe2j+xpDkWIM7tuowWXFMrZNnbDGYFrWzq1OZIlp6SX2JPVGZZOYc2i2tEaVsOqUxhPE9as3IKf
KgTvDbmLObNPRpIUF0hCUWizdWtnU9SW+cxTXGyN2xVnXhN5fZqbXFwGkdA3OXHJwoe84cYb+7Ca
KVB4YDzVySxSdGyW1LdKvmRgIOyX0k8exryEYBSk8dSiKKviDDSlnGZ1519YTIJPDrjbngEls2HI
6iOH7AdUNeZlX0VHAkZ71RzyrfxKJp4+z4WBvLwTYcy6QQXRkgLeF5mG5cc5oUiCYZ4dh3cNGe5d
t7GXSOziK/jB8gq13l3K5e1cEm2YW6+HHrJMqavDdfLkolhE5QArSJKbC0VKZMR0lz7/z/MFEDRD
nMgGI+z7ycmCCcJAYr8RaJ/7yrj19fsvmUi0By73zpYixm8DnT+kPS++8u4e+AI2lMzAuXs2nH+l
DkTINqBHaoNtstNieEMd8Pw9sJMT6GMCaUPr/n+Uh+zSlrd5iIWOogiusqC4v2cMEPgkT24hkgUF
JAa4BXh/MreLuILWdFOGjyQKkUMHbV9dO4WqToJWSm8WJf2E2aFybDz2VLf3iIIj7zTsozZOS0eO
K05ar8l0l9fhxsoBNMFAHD1YGTwYE8wj0roHZTW2Gxozdl4gzSDznnjQz4G9vP3Zrf1ySYBMwfEc
vsiQXkEJTC8pUgiEcBNXLC1s+B/ronGuW1mTde73DnChkpBZJIy0wSWrTLAOGcrul4UTArZohZVr
vIsIGoJ1MtFq5hE88ixnsa+uaGWah8n3x9OuJo8VgP425blfH1QddJWA+2J9xZYJWETYfY16QWCC
1PAonMPn09wlk0Bm4XAdJbNunDpAkmLc+srWW8b9OARCpxlJZVRHBsjaOKCQjQJwR9Fy4jTCPoho
Hq+5axUnkg3uJmjhdSErC7roSVhNqM6DxYA9RIWwJw38Wm76vELyp/0uMKnVwdf7cLKNAJaXN2Gd
YU8vRarKwm1XCEv1fqFRq55RbpWfK6m6NXxfuxWjXnlAsOkdWKRSwPBHT3y2UJg45D1oH1mLZeTK
ybGVpp7oObB7F/srSnu+lUruNoeOA2fetAtYhFzTNIh+5IhuwsmHD3E6JSr6RONaXfi5aacFERP9
RFGxrRAvoXsYFTenAp/DN3QAzOP2iKtCZ+MSC46pGk6mYx9gENmjubQnhx9QD1J9M5sjUs01jVa0
BT0FNLJoibobOSJ+iAgfXQ08TUafgAyhHLkfF0m08cqojyHZ6Q9R5g0kxhobBjKT0AFyUjUhEJl5
UM1215SPdp+ZFts8cr7OgilkM5ph6Yre8w8kGKnecdM26EaA9RVLUSMdiywibgJNyUjcDpTQR4qu
+qxRNjtHTUzBe1t4Eq3hogBC2uZQrRCkjmChgd68GVzn2RL8Ek0yULyGlW9aIJfeCFM03ZtwmgVm
ZzEsakCzNshecDslimQG5mknfdN6U2aNVrEwJbUhT5DrzERa+LOhdNAI1noeP/SkYyFKrYFB2o1H
F2Y4Ro6L+jUF+QvFSWWmw5GDl6+hKBOkduvbKLOEJb+NwLac28JbY9vqoT0nNL5V4wpPG7iRfAIZ
wgb+FxyWaGKYGxfGysraFTLzJO0SmlzYTlfcDpLilxm7APtyYRtArr3NMhHGmH2+qWalKoL6U1mM
QGOb0r7tFLgHKPuIK4E4HMECB5oG7V9etBhRtErEinq79Nfhsi0ypvIA5Jxpqg5xm9Zimg6N8Lau
A8w0FhaSTliHAv8I6wXCNe+oLGNrRaYdPM9cPgc4D9pKpbptlWvz6BcCBBPSeSvNaX0w6UQsDa4v
8y3+6HZKXUBXwFsGvS27tAM89NCyBLQPoLLJiXYcb78QvR5mqPg3KwdZ+TxEyR0gqwPJX48xKbOe
8eFw8trusCK1nSVgHm1QOYeLMe+rFvH3QMAFhSONpcHycVAvpsZyFoqPCcIg1hYHE1P1FnG8WA0Y
lIdxDDvRKWH+WlONZII1Wn1OMCKBwlbxXTjmu1C98ttjvxTxtiptBPFdV8HEpsnz1B0s9z7B0EIZ
06lOW54UWCkn5s9L6FMv7aBrLuzKZoteY6DUSUs/lxQhRdq7xaRStrO8dSIeHVVFEt45yLnsOfrn
6xm8gJvrDp7Zs6lru/PWVepuIE5zguLysKkkH+NZX3BypAIVzb06gsdwYDMF/a8GKeYEgtt1CX1h
UL20GC5CJOoyDbBRPMC8lB6DQIBFCvhtORMl5mvaN51TA6XV+grle1hdmzY+s3zP2Glr5+Qqsnfe
yISZ4doKqXVdaB8hGgd0e9kkPFzQuImOQdTzVsnQF4+4XnmyE8u6RREFKT/MxoHEDEyKXUged+cJ
Ni3sEKqH3a9HWOymYTCOpzGBXVo0Bv3lhMbZ/agFpSQBYxAubqro0YevANOkuewqOXNbYAb4qfpD
tMZ1WEdYLk8ZkJY2rQGPgeY1iT7ZecdC9AYcN2RaEYfqygKoocxRyu9skiHtCcW+cKhzpJCIfHIj
1EBTFyT2cZ+Z0iAXkzHxUuhCxGtG0MY0q/1BdZnpE0lhamzD40O7KHjBA6yXV33HJMfKSO16xiaR
bxi88uos6EJ6gBGSQHkHlYUbQiPsin0QO9vCRHj+EOLye6BdXC/doRSXvk/bbdMKhZQOajtbPsLg
1ziGwLfcjtYofsXHgPDtB5DGkaBgFEDLRQJYx1LpatGnRSyDs1FoRudspBEsy6BAVc0JmxqQ36wo
9k+QyJp8vzcAYSLhohBToGIZp8JUMehZRnRm4zLV5Cl+BUQGQ1JHi9Dp4q0QbtNmU9LHE4zIhf/I
SysJUDyywDMPdm5CsWXfx7HQeomOOOWlBdr7kGwMHJsX6q5DM0PVDnCCQms79QV5dEnNtt3U8NmY
NA7bb5maynTAGnpT9jxwlw32ivZwAAg8PhO8/18ZQPvH94PvAyX+/KP884/bP/+4/0YJAN99Cby9
vR3xHSUAxN4v/NsvgfcuIEdfsxcFL3Te18jb20PAjXcQFEewsthpG6lad/TjB8/b8yNUokH8RtOI
nYBT/Ps/UIIhD/XJMxkXhOd3/3/rkpe8j7xxbFxUgIZqyGHbboCCwPsI3Omx+UZFrBcCodnCJhNd
Dn5kNgr0qg2rnWtoy7lb7eYdPKhDubSsqMj8OBjWDZjF1UyjujBjnlNt7UhkO+WzY6yPa0syueKT
MfsO1d6qYbLcTIiIjpKIOfO27th2dFS78QsVpoDz2vOwCeIM8GmOUJM4R5CW8658wxa2K64iF10/
4BBUMw8VBVQAh0+yUdc8FBspa7kC466ajYC6kSpMnxDpe4gXwF+IdYCmh94zaBlqchQXXXWsG2QN
JnTAPy3GDdbPK0jqrXf/Ut8rl2hiEbM8seg8nLD386K78Kz6gHMBV6AkUreRiLH1eRziM4NrDQfd
VAEqkFPA911Xw1kEnT7WDSUuXbQRg+5ZhFWRwBJilhgdHPGc0kOQA5sTKDclK9m5uz6nyXUfcyar
W1D7oKnHgim+4UBfjwIkHRfKczg2eXlrtAWVn0G66BYHn9dGBwuCv2uqK5rm8FffxknJs2H0vGeX
pP9oin+XkP8LbPuXC8huupt51bFuPNUPctw+KI1i9esw3r17Ai5Mdw7Lq7/zoR8f6LeHp4Oej83D
xw93ta6gj7EFkaGu3k3rnRr+u9Xg6ZKervdHRxA3uGJ9j0O74OgnaKWGFt6H30RdIXV/+nsY70EP
1EO/G6pzOMObZ/K9u/7xDT0/vh9/5t0l3+xKm4hVO8nuunc3bYPKDxmKn7vzvxzmzZ3H6E7AOhZE
6Cl9er1/AMHezlXXgxj587tAAf67ngP6MAJ0TvzqYwj3bKR/vh0F9tMLEMxfxwHkLRL0cT69/hsf
Q/Ik6Pcz8+C7owHQEQAHNHuhgenphZr4m8cQubun5MOZwXl+SpgtPzsafmLqfFlV0EMh7p/WE/ag
vrXsfO8DrxPr6/dfJtXB/ccPIHJ+2ZafPrhbXp7P/e/l5vd3z+hp4r9583UhePv1lxv8+tTfvKjX
Py4ZOAzybifZvls+Xy5zR9P4+OGMVff07Zz/Mtb/fSkfP7y70DfT4EdHPvlBO9ObFffvHHpNx9sH
+dvJDSwmdFWg/+Yvd/A8TH/1Dv453dz/tr5RqI3J9yfwEeGg5fJXT/CTAO4vPi3gw/oOHUNfIcSv
i/uv3sbfJ8n84p39RAz+wzN8azp92YC/nmSvG+u3vvZ+Bdl94k483Mjf/wUAAP//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data id="1">
      <cx:strDim type="cat">
        <cx:f>_xlchart.v5.13</cx:f>
        <cx:nf>_xlchart.v5.12</cx:nf>
      </cx:strDim>
      <cx:numDim type="colorVal">
        <cx:f>_xlchart.v5.17</cx:f>
        <cx:nf>_xlchart.v5.16</cx:nf>
      </cx:numDim>
    </cx:data>
  </cx:chartData>
  <cx:chart>
    <cx:title pos="t" align="ctr" overlay="0">
      <cx:tx>
        <cx:txData>
          <cx:v>Sales By Province</cx:v>
        </cx:txData>
      </cx:tx>
      <cx:spPr>
        <a:solidFill>
          <a:schemeClr val="accent3">
            <a:lumMod val="20000"/>
            <a:lumOff val="80000"/>
          </a:schemeClr>
        </a:solidFill>
      </cx:spPr>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By Province</a:t>
          </a:r>
        </a:p>
      </cx:txPr>
    </cx:title>
    <cx:plotArea>
      <cx:plotAreaRegion>
        <cx:plotSurface>
          <cx:spPr>
            <a:solidFill>
              <a:schemeClr val="accent6">
                <a:lumMod val="20000"/>
                <a:lumOff val="80000"/>
              </a:schemeClr>
            </a:solidFill>
            <a:effectLst>
              <a:outerShdw blurRad="50800" dist="38100" dir="2700000" algn="tl" rotWithShape="0">
                <a:prstClr val="black">
                  <a:alpha val="40000"/>
                </a:prstClr>
              </a:outerShdw>
            </a:effectLst>
          </cx:spPr>
        </cx:plotSurface>
        <cx:series layoutId="regionMap" uniqueId="{4644851C-7884-4F33-8204-E9899A80668A}" formatIdx="0">
          <cx:tx>
            <cx:txData>
              <cx:f>_xlchart.v5.14</cx:f>
              <cx:v>Sales</cx:v>
            </cx:txData>
          </cx:tx>
          <cx:dataLabels>
            <cx:visibility seriesName="0" categoryName="0" value="1"/>
          </cx:dataLabels>
          <cx:dataId val="0"/>
          <cx:layoutPr>
            <cx:geography cultureLanguage="en-US" cultureRegion="US"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813EC591-D910-4676-AB87-E939F84F21CF}" formatIdx="1">
          <cx:tx>
            <cx:txData>
              <cx:f>_xlchart.v5.16</cx:f>
              <cx:v>Country</cx:v>
            </cx:txData>
          </cx:tx>
          <cx:dataLabels>
            <cx:visibility seriesName="0" categoryName="0" value="1"/>
          </cx:dataLabels>
          <cx:dataId val="1"/>
          <cx:layoutPr>
            <cx:geography cultureLanguage="en-US" cultureRegion="US" attribution="Powered by Bing">
              <cx:geoCache provider="{E9337A44-BEBE-4D9F-B70C-5C5E7DAFC167}">
                <cx:binary>1H1Zb9xWuu1fCfx8mex5bzY654FVLA2WZMtjnBdClhXO88xffxflpLuKYhePc4CDewM0grgsrfrm
efc/H4d/PCZPD9VPQ5pk9T8eh19fBU1T/OOXX+rH4Cl9qH9Ow8cqr/M/mp8f8/SX/I8/wsenX75V
D32Y+b8wQsUvj8FD1TwNr/7rn/ht/lN+kz8+NGGe3bdP1fjuqW6Tpj7z2epHPz18S8NsH9ZNFT42
9NdXf/1S6/Xb1z+9fYiDps3ioH949dNT1oTN+GEsnn59dfJTr376Zfm7X3yPnxJ81ab9hp/l4mdh
lNFcMfv5H/PqpyTP/D8/1uxnYmyhbJuS53/kX9B3Dyl+/HUwfn2q/rtf7fmLPXz7Vj3VNWh9/vf6
7zghaf2vPOZt1sys9sH1X1+BO+DbQ/bqp7DOd98/2+UziW9fP/Pkl1M5/dc/F38ALi3+5EiUS5Zu
ffSfJfk+zL4FfzHxfy4/pmYBaUG0/C4geiI/ZX421NbE1vq7ePVf0N/lt/lt1kX2548tpPTnn/6/
LZj/+O2OLerkL/2gRTH7Zw5eS6lhK0em9CwKyYXU6lQG/9bc//wV1sXw7588+cL//xjD2zaLHr7+
xY7/ZA3/G2bpPCT5Y/CnBzmWw4mO/6gqmJ854xoi/9O52qcaIX82RnKuzZ8fL4zzv/md1nXj5IdP
iPj11cln/8uq85+F+a8wtX9oHtzn+HbkZs9/+pd/XvzouTD5XchX3359pRmT1ID5/4qc86/582dX
/OTJzzw91A1+Bf2ZMkG1IkxymygG2++f5k+U+llJQZlNmOGMcMpe/ZTlVRP8+oqZnyWTUhibC5sr
yfirn+q8ff6I/6wJZ4i70ghbEVv8K9F4myejn2f/4sef//1T1qZv8zBr6l9fUfLqp+L7X3v+rtxI
SQFNjFBKEfw6fP748A7JzPy3/09Mk4T3Vi/cJmhvx/Jg1xfJcIiMuoyHQxl1jg4HZwoT54hHK7gg
egnLpeaaSE4ks9kCdoqnLKlFKt2JVDfeYB4CNb6eiPj9PAz85zkYPlN/RF04hZIlJpauCkLP4aV/
JzNBdqnJD5k1/XYebI0mRQxRkggOZi5o8rUYOm1AU19Nj3WXXZmofD0mxd9g3RHMs0SPaCq8oYmH
NpOuIdqtjX3VhNPt2E+H89Sssc5QwRgXmhtlI3s4Zt1oeDONepJuHKvbgA0f8mF6n/R17/ilDP8G
TYZRYkvBKP43s/aIpjz0Jh21o3TtoHvbtc0uUOrGDMkGTbMEFsrOj2Fmmo9gdMqTKqxBU6IDRyQX
egodpeN9kn2SycVkB26aX59n45pSHEPClxxDRpWXU1OBMtL6V8ouLisjD1HBNhgoXlImwDhuhDFc
U7aQVsarnGRRB8qm9tqbLNf3wrsfpuQEgp1SElixp6aigYzIH4VKwouxEwefjsb9n+EsdEG3hMV9
BxwzFuLe74LkwMZwvO6CtNiwWAo3ulQI0IQoSwySMrjbU5pU0Y6j4L10C+/3oD/QgLxpUuGw28ba
BcV1lXuuYtZuKA9p9qUnwYbUUEGdg7cX7olP2uRTPEjX45nT0uBydrgp+dSW7S5JtMPqDRluAS7U
pPGTpA4EAOvrhOxNc/Ai+ZZN9T5P37Eqvf8bklQoEZmBk0coPeWu19cmSDSUshqSwbFI8qFUwVVV
NG/O46wq/xHOwqwNtbJuiFvpWqW5TUf7Q59ZG55jLU4KeoSxsGMdWnUZztof2e1BDiRxJRkv6rJy
ZZ85nenugkI6lhk/h2PydJ4+OhOw8FuCCaQJcMe2QuJ4ykhaRGXYJJV0R0885JwMO92q11Yn79Mh
vpk8eTVy9hvLK+rIzj4Qlrlpml3ENSkcHkxunFU3iYw3rGdNmYRN6Zw/2JqahXgrj9YxjzPl1jz6
Woo4dQZvdMoo3VXzf+hKf4zjDTmsceIYc/5ORx6c1loPwsuVG9ht7QS+/ZQ0/EsxfYxZvRVo17A0
1cYIiQQFUfAUK+jkyCTyOVdr70s7sb3Oq10R8k92sGEos/Is5XuMNH+TI6q4rwz3cindNBxfd2Xn
lIruqPUJIUr51v68Nq2JTTOhJZJPpKN04QN0HZOI5yDLDsjrwBdfvFbu8vAC+Z4YPVdze8PLrURd
MI8qqK9BPSMWetKGg+xobKTL6XAYRL0j3s1QxY4MI8fUFyqTji6L3XkqV4V3BLpgaYUMSSe+RjJm
+GdSDLdDwHcTS+6Ksd5g6KpvOCZw4RvEpBVLaxDoJfZOCHOfZ80lgVXGkXHbMLuzW3/X8ujAclX9
LXAplSHIpOlzpXCsO1aoicUtJBhjXFy1NEx2maLWFbOLyJl0f5fo8F1M6F5SZb8WSR78eIIjNAi0
FRWGopxd6K4OWpFbkXIbxt/EmX2JVO7i72Uf2iCrhs7aMIeFMRqTFMMoEuVOJt4XCbsgY/k6KbV7
Xm1WjcMmQEEOL9HOPaVGJGXTpl2hXL+La9Q9H+2eZDsSsvdZ13zSejeOqtqwj1VVPcKcw9uR9cte
sHCK4NOmondIFuS758xKhY5Mo2wDbM0YDUdiz5XWDDXYKRjc2UCkVcMu8ndR1CLJYvtkDJ2sThwv
zx2/iS4n6+o8V+lMwtLBHaMu3LY0DentOULTIJf7tOO3nkk+9LpPncrK34Y5aQ9hTD7Wuv3cET9y
rCLYB6T5msuU7bt02PAOqyZr5tTPVqh/9TJfHiyq63yE1QjrU56+QclLc+8qaD4P0xdufZJZ9lX3
G5ayygRptLShWIgcCxUmKulCMyGKa6HyS8br8FAN5cV5Vq/KFxDc5ujOC7IA6XI9WKyYU4WwuaEJ
/QLynwY/uGhNND7Sooz3qmfBZSCCb+eR18iDE4CYNZdcLU2nH00U1VGv3FZT3+2q+L5JGN1Q31XB
2TaDwxG2beznjP7IWPrQV1KW07MfuPJ9Md3Udvgtyc0H0kflzhL0zZjqfZVHfzS0oBuBeg5VSz1G
B1dxIeYAKhbOLiCyToYWNNLgdzoKtidjsBtzayt6rfBSzv5conRkBFw9tVJuS54kaafcjhYXNAg+
RnCs58W14nUkmTmplUHNuLSAtPLSvpwC5Vp+tDMk/sDqYJ+H5oIF8YZOrnDtBIqdUpP6WUh1EyqX
S+tNJ2s3bFThRLFfb5j1GhAVBGBorUINF84tymWvRIMg0fil5dq1f1W2TO+3s4sVK5NwochlOHAo
mb/IkRbSoW9tlDcK2cVdOD00QbErde8MU76zNJ+zqTHf0omV0ARM9GIoRyn1Mh2tJt9Oo1a5JPks
knaHjsXstvRdx3w3KckGL+kKM6F4RFPK0YGUSxoHYWlSBfDZrVfvRVXdtAKaooKcOlmfhJeWKbxd
0yT5hWHxpbb4VVzG+l0fjvpQZGOy16zRO50mG9q0Yhu2ZkQ9ewDOzMI2+sGvartAm00p4YRiYk40
+N6Gn1mxDlsjnTKKKfRI7YUbldaYpp4KpDv43D7wgbX3xZQhbxVWeMi7zmxwe5Uo1MlU2/BrZNk7
DPIKtbKw0IgoAr2TvE7f6ijzNli3JlL0OuBYMBZEGFpQVWRkmhqq0NOr5DWM8AMb4qu0HdzzrmVu
XC/dpH2MM1N7ZB5WlTEUzKhnLHt0ZtX0+H2Ykn1G5j5baH1sJHHQdIvJxeTdnAdfMc0T7IVpVnnS
NUMOGnkYRA6a2xd5yT+NylypLLoyOv2SZexamCnYYO7sXBaxwTacKIreL1qZy8zKazvRo4ejXBmk
h7YdtROVnz0D+qPUEWN9dZ7OVVkewS1SqsHOutrK/vTfbIq+CT29GcKt9H5NMY+pWkS8IqdD4BP4
bhqN8uAlHnnTxrn8ep6YtUYcmCcIJhpc2i8awD3N01hmqCI6rb8OWUYcW/iXZFCusZSL0vjRrqlr
Bc21QLulyckNuHpXiXJ//ousOFnbCGKjC224osvAq6I4RaMFXC071E+t31xUtX8bJe1nq7IqJ/XY
sBsiupEZrnmbY9RFgGQsh2EWYHLr03tLx9ku9spk56dJ7uajF284m1XVkRS9JHh1ytTCRMpClFke
xsrNdLovaLkPysppSP19W+L7ssTb76p/PFtatUTkSBpyJYhXs8EceYGkD62eJ7BEKRPhxEF+MQb9
Pi5Kd2Leo6Cdg/xO7IqRFu55Ka4qLTpSz+F5jpmnyHootC/4bIqZHHZeE7dOr6Yv50FWhXYEsnBy
cerrsZIA4Z0SdzRK/Ou6zqZdUOfTHs3m/nAeb1VqR3gLqUVWEhVN5itXCetD1FT3ScgGRxZ5tBH7
1rknEYyQFcIaFgE2Ik1vJzFsEYHxS5dNF0W21YdepcW2OeeUo79GF6qRC14Vwh4QIMJk3wcjhMQo
NpPqtz/OM3Tuvhe7aJIsvFebdLpA8JZu2KE72TGX6vyKW9aP59IYxxKjGUo3VF4LcpLB9i0PSZtb
dc0ttQqx00H4aDz11Nr5hm6vsQ55GcWcUWmbLKVjoVHQDyOsyvL0uzC2nLwQt5mdbcCsaTeauujY
SdSRVMyfHxmvsQcVwg0jVWi9O4wkLLS2MAYZEEfPi2hN246BFrwrfV50MuHwEs10ZYfB4FCR/3Ee
Y/4dy9B8jLGMlaxEhzWDfGqBZiOLdXOtqulT55ObUJef/UB2Gza0mgIdQcrFaCcoY8atCfybp7SY
qyNPR7YuUGPN6XTN7kR1O5cKPlwvk3+LpwhgGK9rYpYpMhFFnLXz7Naqx/i6HyZzkHEWbqjIc6f4
BVsNmnJwtMiRlwMAqsOwCzXYOnZyLkdaEu1sPbwt6ROaydgkQPufKMupWLsh0FXtPEJeaKeQAfOw
cYEuVpFesVL8VkX2vVdZbk67p/O68zIjUARstCWF1Ql7yctx8EqP1bZwhyBGW2MiqaPIeNlO5DLU
nDj5ZO7EkDQbzN2CXaQERdj6PpZAhOvHWBNyMsHqx8KmmNhlVXxd1GN9y4OwcHnT0K3i56VJgmTs
JiltiPi+/3Ji+7lkvokt4eZNch80wdVIaLxhIC9N8gRjOfrMufYpOtfC7cfmXWB7N01Pd0Hiv21U
8lkh9zsvxZW+0SneIqhVPvXGhvoYkLMnmqudKcfDXPnQKXJ6Zna51VyPakKGd3seeZWZNtVCq3nf
ZTkEVR5qaOxXQH+0paE6ltsVmPCcB3lpD6AOKgqTR18KEejUW1MqBl/20JYKKwJO0sq9VepDL6aD
pVprI31cSdZnNKNgEYxyvUySmxLJsdeApCYZxL5NsVoTZuGh6+va8Qr2xe+iD2077Buf743St6yO
v1VTIPfCNBtyXVWjo6+yMJOaiqCrKilcktNklwZBeqUbPl1rPdUXpMmadwXv4w33usZtir6Z0GRm
wVKk1hAIFmOVxe374hNyjH1aFO+N17wfdHf/44I9hlo4OjvK/CrBkpira/lFjtPFXMgSz3uLBG2j
CFlT1DllpsZWGOMspZoY3nI/F6DK1+/Q4DrUYbW18LAmrmOMhbjarkP/qGbCDVoSuATtYV6ancpi
5pDaXBXYwTjPP/ki8qMRfUTU0jDCGM2/CPwrBLUdX7T7ri3TvbSjz+eB5kzyNBZiwY9ghoZeqhJm
2f2uOr9NKZZJXEHL5kNgdHKXlFaBPnhQuJVKrH1HBLvOe27fR2XRbdjBmvAYijm0I+dx/DLRbVhY
+Wykwp0UdppiVAf10GwoyDqJ/8LQi5QmLRQr7QIYwuK7MgqdLr8bsBPT4l+xjUWDyqGl2J/n66rj
PqJMLxw3Eo+GRRgLuhUZHUvSPfKKNPtkNKrxrnSIT/begFHnj48zIFCUJrBvLAep5cAx82Uq1YQJ
UZiMyVXO0nCH8U39d+Q2j4QMNdjwWKpNM6JYnAqkUKKhaIvz15zqHy7DZ0L+DbGwuTyPqjJiSAab
tPqmrP6NKHXuWLzYdXnqsjC8Jqp/8pncqL3WvOQx7sL07MgTKZtrL2vg163PP/txX7ncarM9k93D
eTVZcywMlygcMz3F+FL/hwwd4y7AIhea440J75Bu53Z5Tcr3zdYe3Cpd/4ZamgGjvqmF6EBXN9yG
SfkuasvPrV3/3tB0I6yvWvUR1EL3hfCs1O9AFaJq5eQlu4qMXW+ArLnII9bphX5EXKbFoABil+yA
NYfeqcumdLBLtbGmtQW0UIgyt+1hzFD0eyIhbpqR6yFIMpcm9kbKtQ6ECR2hHInsshzPi4D6epo1
fkhvpzZwW5neVlG4Fc22cMxp1hXB0zd9DpwCyWNZ0HcYR36Snbk4r9tbMLNfPirFE12QTniA8brW
sUf7WhXlFTKTL+dh1kyIU3QxJDp2WCufv8YRDGYDIpcVxIO923d+abf7MWNu4uWfKQkucXy2sYu4
Zkd83omfB9Vw4AuyPO5NPspH4XZ1uYdHzxPrvhrQof9bIYRjaKawMc+YXtapgd11g2qRBPiS7Dok
pii/q+xQj7+1SeYM75R/Y+mtTvJq4MIKCapvZbDivszJJ2ljus8RLiuaXYx9c83r4GFm6WSJ0umi
5AkVZY6cOLqsQ6vcsOo118ERtnB4IDElX2ZzJAgqjoa7QFCJRqcouDPyPN2oBFZFeASycB3CtDGO
NZAIq7is7qOYJx9yW5eh01u55URNIjZiyoqOomGIgSviJQFpC4coE4+RqsW1QtfEHXHqrCj2CQtS
J80K4ZYDbw6GV+XX85Yx2/Eit0NUwUxACWzMMDWz4cgyKlkXrGsr6M9gXRP0eWNNrpqo+m2M+dfR
lpcqZFu+ZY3SI8xllGksFTd9AUzJArGzCE//iEcy7UN/KvZDobLCsZsgcM9TuoW64G/QVnFM/Bpa
I8I3SVa22AmK3Rb1apdw35kysjGtW+khYcoikPvMi/nYSFp4ARn6lQkIhJfX9oU9BbfcpKOTYpDl
pGY4WGkVXqf10F3yIoFepTLHkKTfSJFWunUn32J5J4JGyoid/FK4FDsJht/7FhaTssM8x8dJTECd
Nv3cq8iRKtrXPNkwoxUHj4wdMXjeoMM+0iIw4kYzLac8EW6WRXdqiKMWVzdjdWOpwf744wJGiYLp
L0OV8GK+VXa133hVjG6E3+7FMLzTQ/67IMlFpMoIkxI73KBtxUVQnAgjkUYSL+AHT20nLoe4sg0A
s7Teo519URXtxyHPkQQ09+dpm3/VwkxRgdlYCcCGzsupj0X6tIjTQLht276xx5juag/79LPvg2gv
I4t8TeKJXmBEnG1VKbNhvMBmiqEvMmvycn7fs9ryeuxAuBMcvLarXW8NrvLyh05nu8bzP+q+2ldZ
e4EJ4mXtF+HGF1hhM3bK/oX/HIyOXFSTel1Udr5w0zq9CXPxUNDideAFb6dsq9RchcKCl8GCDboF
yyWCvE7bciobSDSO3k7jp1Z1+6AN0cj7dF6ea0AUjVdjcFSFbcyFWRR66I2ybO5a1pg5YVq+nyOo
sqpd45NuQ09XfDzDRg9BEYb7oxcLgdUQtI2aoDyl1d2WnrUfUtsVnoI7MP4VKvvDhE3eq/MUrgRp
gOKqgKBCww3ewjiweZWyJvSgNaLZ1b6ZHLCC/3gmcAyy7LTaWH727AYg5VhddQUWPzz641UsILCO
B0IoMsc5rBxpH7EsE2Q+tN+Kems3Bvxax8XfqFNOQBbZthxLbP4EACkEqZ2Bt49ezrBZ0vx2Xigr
MRCRHs0cbuP2TS5zjGHIRGbRaO5uWrlDeVxd0pFi6XhUmcMJfyP7zt4w31VFgGxxR4GtJb0sXxXU
PDEjaKN2VB6IlT7g+G6rrb+WkTJ4YhyWYv0Hk9eFurVYv6s6CyhDbl0mVUqcbIK6KVUMu1Ikd6Uv
jFNYnnASU1x6ab41MVo1MoQ5rG8abcN/nOpJh7qyCEZ4Kc+uMa5prrp6UHui0TkSin4ciu6KYld9
oxxcxAVsc3zv4aAgxGXcC+bmWsckrTBhVLH/QCJYmRjG2B2DRx0BPWe/l1liO0PG9YZTWXL8OzTG
cKhz0C3Xy8hOg3IwXobSDclEWvNLbBtX8jdTdE7ueztv8PeZGC65/e68Ci885wvYWd2O7DGOU1zH
JCjltJbvLX3wkJ62dnCRVtOG5a8iCZwwCyxdKrEs4lLid1nkoRliinDHi3HcJbh5SKNob/VUbniy
RZ70nax/gy1nqslIYg+XZGjJWf28KnOJC3rUi3qDpoUxfoexcfeDYI6O0rJ94KXlUGCiCX1pzHWU
JZ9Imn4+L6A1SjjKMy1xtsEw/jkVUMg6nIHPA+kWZbZF6w8t0dc8whXgeZxVBTwGmi3ySBMy0SUV
rQDU598GHTqhTS6R1U5NfIAuYmYr4i/pjw4QnzmIw3W01NEPR4d2gUpjb+TjUMm5YLprLPN+RKF7
nrI1xTuCUItm9JDl3M4kIEga3KMCvDN9eGMacUg88f481Pxtj3K779Qg19EU2Y4Qy06wsnLsKGDn
3a2Yd+GPz4fJe7tRsSN6fdN55e+RHJ/OY675LH6EubDgJPJQFcCruIO8zKza6Yo3iRDYFvhN+OS1
1zzpq/OAKxqJLV80KnCVj+uX5U5Y6AXa8pQ3t9krBxuUjl3Zb+K224BZBNeZlzg8kbj7l9iYsZdL
xaUMoOUpBkCqeixJd8ApGB5A2GMLNLCtDbmtkqSxQoYzD46cbhFtKi3bOFRoMLV2fPCq9D0n4evQ
xFul+hqOjcACT4Pkn9nL7Af7gqmdwF+MtULPzMPdUGn2IlZbU94Vx8Rt2BQadAKVxlIR4YMtEcUU
VzRZu2e9/VtN1bfzarCsx58FhECFmg3WJeUy6YZWNzFt0bVqvPE+6eQVDkoaLAd6r40Obkne/qHy
BGkRWOn745dUeltnl8vF8+9fwaATiXUqCk2cbePIZ3mFyTA6Q7tu6LKbrk+vGUkPKepjx7K7zxMz
bpAF11PafCUSq/CD2Wf++HrEZB0rzxdIa4YNL7rKdzy2AeEiwr0Y4cfKHxJTos1ls+pdXLIHf2o2
INbsYh4danSZkBctm4W+X9tqiia0e0JO3EB18quUrf+lbIPwdW6l3mEKevvDhrBXPJsgeJ0E739w
GORytpalpeRehtlaghHaTW/L+GroYrXr+gzinfIidDwRBY5ds+Az0Yof4B8zuD2W7dPSmENnRe0O
uUbllH05OKMqm5shsaVbxunWLt+Kx8cJNMzY2BJ6sTTntBo7u6phzmxOF61Ppohus/jRzsjhPFtW
xH0CNH9+pH+tlUUir7HekAvzfhY39Yv934FQ2Aqx51b7cokv4ZmyZG8wrvW6Zjd42JtKSLmRfTL2
MnChmkWgwPMdOBhZ2nKleNcFIZxtXtbkQ5qlzRusTSXlLui6eGdUSG5FM+UXVGD/jYWyc9HGoR+K
eMgqB+vlzY7rwuwbewg/B4EtXxeoAH/Xvcod9F/4x76t1S7Runs/+T11+mTQGyPnVZkfUbAQBQnx
REyXQkELpj4PXYNufZ7eczyxt0uTrRH+GhhqE2w+zfWJWgqla3zKqgAtALyy814N7HOAdYG6MG9M
2G2MwtbcLFj5b6wFYUGU0rpvgWUK9FU7Ji/DLM2cSjX7lhVuwPw/Jlzxz4+FmKT8VLXdxXkNXCd2
fvyHwdGS5y94pOR5hgCTEVS5JqJv6dS9H4q42Tcldpejxv8bYGjNwbNLG8cRy+5Y23SJTkiOmwwj
JofE5qqHGCtpLqfNC8E1n3aEteyEFSqy08wrEY2lcezu4Aejg2u9aJhc7Ao4Mv7B/socrvBozfOa
LBIo7GCcugtLDiz0+gjJbmKuvZrHECffmHusEYXjCCxkz68lIUacYtQ9t+rQT6SbdeayJfwOeROr
I1cV1fX8mAxhG4Cz/i1yXmS6OA+QOElCr3iZOw2+lYkSl3TYVWPXqvXIjop03PBQK5kTUBBZcfaE
GdVy+4H5VaXbEJfPClfIvhoek9bf86rdSDrXdB0+9vnWcV7jXCQUyJKiMKxx7zCw4EY3drubVTDL
48soC7a6LCuRXODBCAQoXIlys9R1EoxTpmOcBpKkFLdW0kYXkfa9q6TNoPp1GLnZ2AcbjJwpWIpL
IgNFwjT/s6QwThOfpgy3CEJl30LiffVM5jl0GC6G0b7MI9xaBBzLolh+2khc1kQo55tEOT9K9iLJ
Ljpq9cF8LKCMv6sC+skP09zxxmljRLMmQzzQI1D+4800rme2H/mrtOzj2O9xIJdGdukkTY9phYnu
fTvM3KQpDue94xpV2O+zUWMRFEXLHuCUDVGRNLi/jZqRHYwUb/XUGCccwmojwi1HT8/uQ+NlAwnb
RkBYWlqWxHr0kQa7vaU/cS+8b7BI0Mfpm2gYf++y0uV99rbpSIwzRyzHp7W0d623dRC/SjDmFri4
wXOhSAoX7J2GxpsVyy2b0XdI2N1VrHg74p71PGPXxIgBPMrM+bTgRS+uHDLllyUOqMnoPSQqqF1r
7C69HA8BeJb54zzYGlG4XYPho7WqX9QydmGlcYUtLrf3sGVPGnlZNuQNhn0bMlzBkTgYw7qi0eZl
93bI6ZjEiH24/CvbrzThEUbTeVPyfVMk4/vzRK1wUCP5nWsFPCuIZ6tOJdX7ITzmVOHpt9x6jQ6T
vyMcNRhCx0WtPX/DvNfQDA7F2NwQx6tzC72Y7Loh2ku0y4uUfcD1cX7V482qOxk2w67o0fnbAFzh
pcYGpZrfFUa5tsxZSZ0PHoot7dothk9OIiz7JqyjKncM7emH87xcbjLPxmfQi0Dlg4VXpZbMRNps
8E5KbVzDfe+tLTumnLZU8iYMB4VEJdex41GlL60oTD4WRRNUO9YW1Qect8af/CZWb4c2NdXGasxL
d24wxERVphnGbPhupzIuWR9NmQix5qDY2z5XrcMnyp1i6t/Mkasc6s9VEr6HS9zyAy8TjRNkPpcU
R24WSyMd6wXGtXOLgVTeTlrTHrs1F8yLb0jN91a7td70UsVmSNueS19sAiw7T35YhGUXIROdaHQ5
j3UUC90qra/iwHo8L+81KPt5R5DiX9jlOKVOUzRDcz5DTSR0UtEaB6fjreMHaeq0WfHlPNxK93V+
7wiv8ZG5a4BXPk/xEtKkisXZ3EzhDvz8fvDusZkYcexVcHobl3h/JXiXMGsD+GX2Bly8Gop4jHk4
FrpOcdMpU1XZpkju89i6iNCRD722PpynbhUEixuYJ+FITC3bXmEdJjIaABJY2e8ypfeV3/3+P4HA
8cQpHWU2hCGu0LB443tfiz79QiuzNbpf03gcjP9JBp5WPcXoWpWMPATG8wNRCHjK4D7LTLvQFHvb
+9Tl784T9dLDPd9Tzy+n43l1unwGhosx9lkNwLxNHVLQ4I6iv1XwqfzhsGTgQtAswQvuuGBaDp+w
14wnTPSAQX2Cp6/K6NILY6ePtmr0WZlOc0/AYG1wfsoVHnTprGLNfS4TtK6qMcYe1jxU8IuvJPgm
EZtSpRF4t3LsFdXDYptA8KMY0SJFO5VZI+pc52j047VL3jsGqzJ0/MG7HYQGkDW3TebIgFCz0It8
IiQlEU5qrKb+UDPzJtfW1rOnL2uFGcPYSLvm1/2W/iEKm7iY0I9w+wxvnuqiYFhVlblTFtN+pOED
y6atXuaKC0SiCa6h6IJnWg7smraM7DxHcys171Xj3aCQzMvqYzNcndfyNa1AoQ+XjjshzHoXIioT
4feBxl5XoQK8Y2Vf4zbCge/rle+UUjt4Eu46iC7Og67x8xh0tvXj6FXwtk/jfI6b3b5R6V6N0W7e
Xhtze54x/A20+Xwejh1LkMtUxTR5WVi4eMAIKklvoyrMHdl2wy6MA4Gr3K5x8LxotlGYr8UUFFpz
NYvSee4Vn9LYimJIucShCUbaETYBs3IXd9Nvc3nXmuI3fwprR2dkJ2N6oCzZmhOtmR5TeH4JrUA4
ZLGAHyeKgq/EfCDS1te0ps2e+om4PM/ZNSXFPsz8RAFeJkIAO6WR8nwMPD0/21xWaeMS3kb3SIl9
RM2qclmNGL4RzNbUFf0BjErRe1f4v004ReRNGdhJhUeVYY1OHD7xWO7DQuz/L2tfth03riz7RTyL
M8GX80AWVZosWbJkW/3C5REACZLgiOHrb5R3724bbd1azXUe7XZDUDITSGRGRlhcCHgxFSIL7zCd
WP373xMvTMASTk0xeNKvP3U9cfJZxkAqSpDJ9X3wokbvCq8zXnYqPpNU/i44MCII+OyJneQfpAiC
J9KGKSYuwyksu1Pq0fNynoOCze+R4Z8Jxd/5yc8/7fTffwrFjeo6sxiiwcMhf7+N0W3eZOc6Red+
hmO+vq9jb4vxM9rE3Ki++SMn25lw+73RgE9FqJ0qVc77ZwK7QpqceIAmRb/RaL5b6dhc8CC6DBrv
mhB17v3z298JgPEUjzzg8H9Qwf5kt2AAkbM+kYinHQ2qVUyHAcRqZz7ObzoDgIAi/40BZj6VoZ1f
y/JlafgWw3LdRLpLpWV3Qfw6QmE/oey9CGTeHToxi7eq3dhHOylwS07d9Dx2JPtMGM+ePUz3bAc0
zBNRjF3L1oPMx7UpEzLpx9kzzBbNyuh1Mi/9bd5PTVikZmnP5Di/MRegTKiMAkMHSJGL1SCYZuw5
QZ98GZBiEzCK9qJLz7xJf3fmIh9Ajkt+FNcix1zCoPSZBBIl3twcE0wtFJmihxlM0X3SXK/Dmxpg
AJB/FTI4cy795oWKmtepeY3fMMfddnLQn/wBXbsUnEIoZwu1DrIILRrnGWuMPICIeD1OPhoiBbVj
4B28fAqAVI67eCq01lFTTHHeXlpkUI+gtVTf//+HF+iw8LOdzA9sFxgSR40MGYULX6Q5scD/oHzr
xUS3SJhjKQoAntJPdE7npeCkCb1iXVaaFXzq0kcUQs1HS/h0gwx4iA8gK1/eySyx03W6Za0qlfYb
/2BSSCih2NZT8BeH27JutpDGZq0u9Bx5D0ksOBrgmwb/SRMH7IoyXz9aw7tHw/ssL0Be0R4ozder
PLBefjB+YyuWeOhwZLQV77o5pg8oT+l7HfqmmuJeX+Vt71VqmfTlnIGEsxyjZUM5dZjB6LauL7rh
tqpT2b1Ho5ZeKnAsvMu6tH8ASi79mCuuETBkIve4ReKnMGL5ARzNFONARvaHyJ+Dm8DY/C3areqz
BxZMv/RHu33ykjq4nSLPvydeNj9znYcPxmzro40D3v0x8m2473stD2Hb1exCWrtqDGipUR76oVP3
vUdGAiIf3g6l2AYUKZnHR1O0NsovAzXEj11bb2VOGTloHCyqsglwTTctuKPo29a0kzpEg0/MgRie
hmBt7jJ1g1p/GpcBBo766zVsRFeKup6/N9hn9D6VaskLf9K01BhPa8ut8R9pvQ0FgBBqvJFJwP1D
yNhyHKbU8MeQmHUrJ8HkhJfw1L4Aj6o+bTh6DiJrhrCwaxre67E1eOjx8QuZ6YiHOeN+kbb+9BzV
YRuX6dSYqmaUHwKukkfijZ0qGkPAu7fFopmqjMsE/cgw6b8vkSe9gnTzetnblXSFBK3r01CLBDxE
03qRDWCpbha/fw5Cad8HHQh6I8zHRIUOKcAiq7F/bCEZ39ap31fjkLA7P9j82y2LVzSfmZlnkEMl
QVUPcK+EquY5ttbmh9hfs6YwIU7dapm76SVQGDWeGtJfNioUF/6c9ehHKY+Gl8uwYXZVheFVTwWq
EIkXtN8pCnllM4Hsp5z0QAKgM6kkH/pu7R7lusKwGnsgT2jAbqQCFaIRcNUZVIdzO7AvPKTj5RqS
bS6M9lR3MbYR+Oo0jW+jgIZ4ZoZ9XIqFiRu0CTgmgxK53Rrg/u8Di8GLMV3jMhSMfErTBiDQbMlm
ecdRlmuP66DEVNKk3oLCw3hxVyVTZD5DroF/C5Q/wHjou93Jmq+F7WJ619QMqEDd5E17GM2GSENu
8tjXUdtdWRV0d6tK1FR69RJck0To+4BsAfhfRtCYWymCAyf59DzHxPsEKBGc0HYgyz1wQBlFIfgI
PFTqeUWrLPPBOy7Dr0TVw2kC6FtMxlFeR1HvP2EueUZ2LowFxSxpvq0d8KCX8ZBjsi2xc8arodbx
ZWJ8VNV7lqtCiC1ID1Om1+RNL5pwaYsJpbrnWCVTOUSGi3veJ0bJQmNE5xKGni9VN8/5CyIo/9J4
UbIcGGtnMPijz3ox5qQemyKgZv7a5426alAgX6/Au+8XRM7P6cYj+c4DJMCv6knNplAbdlZ6MkzE
02T1aI5DPccJKq4kezk5y9MwbG1fYDVflRkBinYM+0GU89wFmB7JcS0UzaCC5maWcnybbHr63gsP
2MnJhCY/aiu9t0CCGQM23rat5cGC1mG8jlOMAF7Fplfz49wwNZRjqKmtUCVdn5qxSSEG0xqJqmid
rOmF3wR8uOALq8HD3pv+WjSj4bcAeKXxoQYfuDnkSQ+diHW140fO4wgMETVv3lLQKdX3yAqm6Dqk
eNC/I/NAxyPvSPosyNyxwySpuWswOf/BN2ttKlD8y+2gvBacyNO8prIyYu0SDJVwHGSx7eRNDcKx
jxTunl6wZNRjYeMk9spwFsvlGiuAEMF9q/NLNk0EkZlQc23B6NReiX6bosPazNMn3YZ4XPFs7fty
DNpUliJdE422JGixDkhqpfeyouO73UIlcGjegBReN4eVrnosw7oGrUiDXCQr1jSwAPaLpJ5ufBFE
sPAkMlP5ZK5pSSNNn1uaoVcmtm25xvi+Bu5uaujbfAHbSikXm38jmVzAiqXDMmctRhEgO9BczUO+
vgs5QFolnQzpb7K17bKSMTriEMtDPV9qSAldc78LRcGpt0WHxAj9oDZfRtdB3K64MJAAfl1jvuBZ
HHQfWN7WtuA8CC5yCvuiyaRvmiCb6aHtx/orEsZUVz2blzd2CbyvCvw7p9cY3d7ozutpZWctHpJI
8Rf8c3GIa7WAZQHjDVde4/FrO6X4DClr731de7rYotb/xpq1LQg8puDWduWa8/YKw/DsdvNWjx2W
JRqPabLUx57wAJNgCuzYUcs/Wqbbt3lv/VLWdQMD8lmDx4mzMqoX7+iz0KNFYGMzHuO1i16WqRMX
eU8EHsZ8ru+TTXSHgWx56Zv4w8z5VHVxcKRjDZf1eOXXAzrETWJLyDrUb+oQwLdptkspW5J9p2tk
3/BEiSKLvfn7NvVBOUxNhPR2i9srLrLhi8AIwTcxp9kDAYfPS6eCtMjVCmJPIMKPUWq7p1yOtqAG
cIhtURHwnXH8NhmX5AElg7zSUIq5mrVuLhaq52r2svg2TbzhZujS5CpSpCWFD57syreif55ObyCy
9XMZt7n9jo6iV2aGhx9xF7W3WY3mybCk3iHhuNE0k/o6n+jLNCTDoZt9XvFBsUfadrKou03d0RPh
wVRn5iXwRlXiRcnvw1711+0S9ZXfbxeGjVd90n9Zogaju5gVOgQDnT+hauo9Tn16i8pZXBhff+Zb
U5fbqfpd5zQ+5AicQz+SpcJRxA5zW3dhQZiRGJfqPw4+lWWnaX6JcWf+ucHldtwSZt6zwOqrUazk
oV5EciTTslwxqgO0hGbcNRhNbA7SM+TGjyTodYTfHnLl1ZiRJqoYgag8irRWD3Ee2uttzqBeZOpc
XFN5/LJAraPIMPdc5v7Er5YTu7uOfXXIjksO6ocyVS2kETijN0EzybInyBHGro9wSVL2EeXNvGT9
1h1NntEKgwAxSA7H+HZj81ikC5KrpoWDR009HRT6RwXJ7Aei9VAZmW6Vz3BrYkys/zYqPz2wLP3S
JUt+4K1KDm1no4tw3cLLoI27myQ5MXv0IryMtiY50C0SF8ilWdnXoXnMatmWsOB4ZagI7xI5JRdJ
7cV3aNrMb7cw/EIG0MsDrznf1xuZ0dtVyV2OwxIvzQzpz+wHFe3UhTJNkYNqw6jpu8YZcrAaYwpa
q3e1N6HUReIi23xRDCZLj5jgDgACHBWaAEzcmnHqD9NC6TWip5UFQJPsZlXSwwArUUe84DxgCRvA
uFpCh+tOLPVFY9sEwR8vpuRL0Bxjmosb0Yf6Xsoa3ufBKRhHN7lgfeRfprrHdN3qCdSy+crY9zWa
UoAyAS5iUW4+g6tsOswjkWnRCgwjNfGcP+a+De55vpJ7vBbSa0gx9MdO+8m1bHMf/qPsl1VG84fc
bGO5piO5lRqej2nP+mLVeXMZAc+Iu1G3F6OBCABQOJjAzxJToQoNvRVoA6DDEklQoSCHMJLPF2Ya
gsuh70hpgWc8ijClyDpVfxSiF1UgeYf6/4pfHIxiB8bNj7fdinNLJlEp52VGgcEEbzPgb75wiEuA
RpaRY1ZH0XNCR3WXhyt6pNOiK1y2QGN6NEEP2F9kMdWq/5LLOC3m6fTwauf2MAkVVIAl8Uuxmf5i
qdf+UhFbX20RG+74lnSXXUNmXoxI5IptAyhwEp65wMtMX5qGp89hggx18uVSEsDgkWVHoHwJOzk9
JtC+LbuQ8huD+P4qbDNfWANWJOArvtltMrde7glagHqkv0Sfua+Srg4uNDoWZTRuvGTNpKqtIeGB
i1gXfXfSluJrdydxZr5sfrcd6ISXSqH6KJyKMJrJC82C+QrdLVr0DCfniHfjZ3CptDch8lNd8MDo
22Tz5tsRbapjRFtSRgOupJQt4/3oWf0wB6y5sIs2xaJzmAlUVyU7XVMJxYsiyU69TrapiyUC7AoS
QyiU8XwZJmTsfP3s82a8xd8119FC6meQAv+BEy26zIOtvUwg0EYOG/zoWzRl3fUMUFc5DsDGxm20
XNINmBI1ZOvXvAnaN2xj0cXKCb3FrZcUKYrY92Oa0zeKjdlnvK/loUuZaa6ape7/Mxr1p5Li2/88
1v+jB/hlkGbilP2pPfzXH//3acDLp/uhcPv3X56ki//+0/HbcBI7nN1/dPo5f/0r/Jg/f+5JI/GX
PyCdgCTxw/rtv/rHr4gy/kcc+ZX/+Iti4y/SlP9VCT0pGqKx+1MZ4x9qjX/ron77sae//pc/xRqz
/wGuAtReqPb5gMOcKj1/ijX6UOQE6h58Zbgw0NdABflPscYo+x+UcIFTh34iKE1BX/x/JNb4a7HL
w/QjWOTQynNqQEFjkf2hp1sNaCKVIgdmTdlz2nivLX6qxf9UYEpTseq2xuKB171HN/s5jKcz5cbX
lnbqs8sQxS3QmCA3Svq10E2N07+x6c7VTz/1p423NcoAw4rqE0lxV8T5TcShYfKTc/wZHj9TGL+2
c7fLYdC5ZRu4dtfN+6PTSUn9/NzYyGtrO01tphrkPSuQbEMYvxO6/QQg8Jmq4WtLO3VKGntjbHWX
VhA29MtW1clBJeLfsRL97YYItJ8NHoFvXMUhPKWWC8ipwaTbGSQtuyzu9iUjmWRmG2qMLE4dLdWa
fB+j9ZyEwit2iZ2+YJ4rtbYCJge1hYcqgqcP61mJuNcWd6IzC6cVGS2a0fk6eA/b4pOruFsXs88V
XSLemWIYhKASgVtzfak3dbognvfZ3InPQdlp7iSWzjokfcky3nbxeKYP/JpVTn//U3SKCWmODeeT
oAGVBQi/k2Kalm/7Nu6EZ92suoawJr5n0H9txHgLcoAzjZ/X9u1EJ7wEuKzTmUXNCD0vclBzfQbK
ejLr32Xzv+LH7SXZWKZziHdl1USLVywQ5runoD+5wfF7ZuL5tc07Ecoi5jWB4UmFDuBV5ns3VH3d
ZXF3dNzGU26hf4nRM5VeT6Bvk6DG37e0E5wYURkTKvCCzTtfXXWkbm/WIDwzcPGKRdz+EPr/KEeg
sFdtEV7QFmnueI6p97WlnYvTKpX4wynu463FwEZ43frqTB/8taWdwAxq1HlDj2CMykvJNc1QZ0Dr
q3neZ/DTT/0pNEHSgkJQg9XD2nxAPfsOQoHVvqWdwAzTbjW1z03l+eFXq3J6Kmq/7FvbiUzWGpD5
r9RAc0fjZbLJ/ICm1Dk8+2smd67OHg/GkW6zrkSSvq3xYrN8fNq3cScqvX6xI8ahUVSU4bNK4q8c
yPXDrrVd8JXAg4KuHDzGfEyg7pfcbe32r1qsfx1XoROXnQVzsODKQMFQoH6zNHdC5V/3bdu5M03U
5dvgK0DT8GIpyLYdk2j9tG9tJy4BY2ZjyrXGeQKtyTHLv3ud3WkTJzDnSQ1yWDa0DH31TXrzexr9
sW/XJ7/8KSi7WAcWrQGsfOqLDOudT1HF3Le2E5VBE8UybyeNqcylu+l5uj6t4XBuyOu0w99caz+w
Bj/tPJ2MF7ZS6kpF5ItI4nedyM/cmK8t7QQlKpSjadVqqjA1XuGz4Lqv2b+TXvrbv52w3GzAo2Ab
dFWv6hjM4ePc68Mug5/eij9/TLBUEG/NpQHbafgQEYYSH9vn3YETlaJO7DjRERdatpqCJ/yWAWWx
c99OWDZ0qlNUDk0lefuxT8VN0J2jgHnlU7q4FkpyjMedvARtdnHI0VwtCfgb9nn4j5Hyn3ywhhTZ
XMMTK0K3sFiZAPik+Xdo5L8c5Ye45U+LR33YERQYYfLVu+I9OkzNzhzCBZlSr91iL4CDt7G/gSRG
o4ch2n2p7I/Jo5/23UBQCWP0qBAKuXz0IYlVrP45/r7XPqcTmQLKgVOc4UhB94uWfQYKB97uvNR+
wHF+2vg4YF51lLjUUiMfF5TZV8zu7YpMdzqvCaatZrBzFSGZfcRQ5fahEdO+48p3YnOMohYM952p
WN0/JTp9tOwcVeAr9vadyNTNkM0Z7U73PKS1zUa+xckZOOtrSzv3JbAv6TKDLajKVHTd5UDpiuhp
n7Wd65IBaemvYaurGUJMBUBmT6y1O9c+/To/OQltE4BvOSwyECBzxBKUQgzdvkKKOxSATBDg8xx4
lHXKvjd6wSDSsvU7F3cSWbUA6kQjDh8MN5TFaf9p7M3DPos7ccnCkanRh8VZsLyJ2qBKZr4v//ad
+zLH2DFwIQ1c0HrftMq/xP65Ic/fuiCqq859CTTUnLF4NgAVnyAx0C0uRo8/7jAJFneicguMXBK8
HoB3NY9tjgpK1rZnsLWvbdwJy0l0oeQBrgZA+CCOlKTqKuzQddq3cycyM38BcKiGiy/MzyuqVnEw
Xs/3XA+wixOcWQucimxGWymr/RcRLPmnulbqat/enfAEUCToyJzoyg7Js582j9myJ3ywbyebXaJg
heAn6HZib7ngikcF4HO7qm1Y3InNeYJa5WRhlFDGD73hh27qz7wdTl/tH3kylnZC0wubDYwbIxAg
IMuUm19BZ+2z6jrA2c6xgb7mjk6Ixly0s1kHW+mRXQQJvcBA5z5fdLGeaVJDxN7D7mkoe8hzr88K
FZVdvkKcCKXA3GXSDqbKVvTv4xZDL1vifdu3uBOiwA+atB0mWw3R8h6dxj9Gedy3shOeYFJhIXqq
OMeV+CqW7Bvesv9Oi+/PnBMjQk5wMrC0T6Cs0Gi4Dy9DWL/12ed9u3YC09hG+7kFnmptlrdz039g
lu70EScyBRAUY29xXs103kqdz8nBTLtqYrCIE5mRjYRpoFhdWW7e0V6+8xdS7TOJE5kZG8mWAUBS
9bK7jPv03RyfIxR4JSKJG5EQTSE4UULM1XvIsOpUVeHefWfOtbktnlcnG2JyHMNrv/afcrMrBQdz
pROSDCivfAK4tErs9gFJ83W6xPu8xGVyGASgICClxYfssncNTT/ZIdt5SmVOSKYcdbaMA6o2eXoF
pyhEYjiLn3e5SebEJLVNDHZ0zOglUt9o4j/YfN1TuIe53aDkk+R+DA/sIvnkjXNb0RWaevv27YRl
A1xlLHVoKjPwN5g2v/Tosi+3crVDACTnA2CGBuPi4Uce63ck7vxi37adqOQsj9swQeiAX6crU9Qf
M7J+2Le2E5YbQFFpbAweD9x8EdK+EE+cE4B4JeRdLhZwkwOP2KJODQry+4F2mD7Ew2fXvlMnLAU4
lvoQtMe4KcVFX2+XMmJn0qrTffib9CR17smUtL2VEDyq/EZEAO7VZT8Flxkdigyhf6Jm2RdGrppC
OBnhzQMqnVkkXlS4HoAC+7rPPE6E1kvYQkgZ7ujj4Z3q+Nmm5OO+pZ0IzfxZmyyGeYCweQRBWukN
+c6lnfik6bqRnKBaSP31nqb5AcILO5d2Ls0m5phU4Ni15FKVQ9KgvjTsqViDVcmJzwmTATOYf2zF
G6kPjTAalEqeOZMtvxZFToSKmW5EZBNORM8sL40Ghr+rgavb9TVdggRtMDiWUTw4+zT4QpeGFvGW
ftq3thOjYKxTcjllyrLrHlbdQV9yyvedWy4SSENsG9BgtDNR52SFaDHa7CfnSINfMXniXJ7z4jX+
gAOxyjZoNsoNIPVo3/2WOIEZibBOWQ+bKFHfmi0FSnFun/bZ24lMJVKrMBGChFa868n4qVvyPRUP
cAE4gYn7fq7BbmCrRfXk2K19c1Oniz1jk9Pv/psDN3FiM4SQPfDKMPfCIRl+oAwDMCKxy+PMcsYO
u4zj9u0blZl5S/ArJASDWYZ8COQ5/pZX3CVy/JzJCBDRmcE6JvjkTd5dY8J9ZRWXUs/Ioc8WgmZs
PQZ9sfnDl9XwfUeiSyK++GknRoWqeOgvxyYgF2F0rrD3yhd1MUw9S/zADrj5ydwMV0kCxUAwdmWp
V+87FF0c04pxOsENxuDY0L7DmMOzNeTrLkeJnesfHPkaWqo9Wlb9mlzF0UZLj1N93Le6c7Ssfh1T
KVAZF2z+lnPA7YXtd7XuT/ITv1aCYyUgvpLjeeUzORa17Z+p35wJ0lecPD79/U9V5rkhkRHm5Ik8
f8D427HWmBDYZxTneNEe7Qcw5iJR9CA3BGD6F5VCZXLf4u7p0oD6gSTYeMcMKykmSbp5H4QRFneu
/mVdBwyznQZioR4ICc7lOJ6Gofft3Ln5mZcvG2vhK/2itnLuQIu6Rd4+R3TxQKA7wNRliuhXvrmk
fQcWjXOUAa+4SuT4uPIx+tZl+JyhL0vI511vbfN+l0lc3qpUbJDp3JBqWW9hGEvAvIsN2Z6uFeii
HBdf2kjpCC3raqrb+2yZ76Zk53nlchtSwRLR97D2mDafAyQqIKZ42GcSx7+BpCM8H7FryeqjxscU
xNtXunan/YO2N8OQKWiDG6ChzXoDhMO+A9zVGUvTTWdNH8C3Ic1dz+3d2uQXuwziIoEwH8pXYnpb
ZR5kJFAJudkysW/bLhTImwaAIjnGXfS4YUKrfjez4d2+bTv3Tg0KGfCdIIuoAZy9zGrLrsiq9h2C
oROSg/GyRUJ1tOoS7yjBhDp65yhcXol2VwN8lIPOJ4YjUMVa3m2Kh1di1G/3GcUJSWajJogBcq1W
47Fi7gwr+n7YF++hc+3gAeGNLCNI88fgjT/1N/UwVfv27QSlZuj2jpgJB50iRAOAn/+e9TtfJy4F
MmmitFlG+KDE3NrC5xsQ4J25ccLT1fKbVPzH3/90y0c+YekiUTZMIBFki3wVy1D0Ac+v/RijyaAX
8N9kVpMHLzBlaoR6E5DVgh88VDfjSjHqlwjwXl9sOorXI2QL5BsVqvkehGkenjpQT7hCcZw9GOV7
wx5kawDa1l8zk2FZZh0EJ1tn0Yc4rG8S2V/u+owuViest3QC0m2rmkC8DyHTVLfLrskKbNtJ1gyT
vRRRt1U2/yzH9GGxO9+BLkxHgQnGLN6AsfAOUtpGHUIoq+4ziBMyQk+YHwi0rLK+vZVjhApwuu9q
d0E63sb7tNao/CoPfGXhyDHjmal9h6tL8s6yBf42W1nV2TyWcU1EgaGZXQM4+JROosaZAgHqAquM
EEi6sDU9+KQNzyRqpyP6NyHpAnVCUfsBFMhkpYHgfsyH7QPBhGgbZhedmPJ9jUcXsAO+3HEAdFFW
Vi3cB03wkt+hgAhVoX1+4zRo8kyB34+hH5uq+lYk2zXNgzNLn+LlN/ZxcYBAeUiQGeM4JN7cvJ88
pCyghSGBAOUErLZr/y7qqDY57+dwlBjiWMwBUiwYY0/MLrQh5vbc2zlv5rhNJlnNdcvBsAa6GMGf
9u38ZLafTnRjwdcUtti5v3rH1g8v+mb8Y9/SzuVsNxVwPc5wmhxT0Ot87Y1yX93DhR1hiJcHIyAq
VSNm0GplUx4zKB2SL/t27lzP9QQGAWwcTJ09RLYVKtll54XRxb7VnUfhyGm6dCkw3ZFRH8JGF2wK
drbDXeyRbW0vZlRWK+uD65NNpLB+vOt7gonYcRUqE9ITkA3Kdm0qCKbMJTTmdi7uFMlivx3NcuIV
ZEnKi4XbN1My7Hqn/IOzkGax3rITVZya7Jd5668yTnZdHFB1+dUmY4yB95ZAt5B63lwINasCtDS7
BgkDjL//unrWRWLiM1bnYQv+9+aaR+rMtfH7tBy0qr8uPfDaZs1qMLGdkg8s/aHVtsu/Qc/969LB
nIFLt8a8KYPgUcFo/q3OkGnsCR7i4o4aTLMFZMK+/ZVegXTpzRbti0sQ/P+676kO5jZqMbYZTaFX
jSC+YllHDvv27eQAsQCxXLfJtJqtJZc+D9+p2Ih9RnExR60NNWAZ0JYAh9H7dQs+nBczfsVPXMjR
NoaNVBIgMqv405iCSiff1+sAi9yv9uY83fzoh6hJ3/GDAfkRKBL3FceIKxwZWzCzgg0iqTBDbMto
bp/DIZ32fUwXdJRY2tK0zuCE1L8j0NWynr/zUzpxqXA5JMloIcGCMtbVMkE+OplZuO+UdXmU8TF9
8IBi47re3qNG/kFO6fMuB3dhR2xLDLRdT0KMKtvAFDOVfMp23ccg+v/VUwgRUpsYIjt8kDe+GW8E
dA/2bduJSwXO0GZuoLOxZgGttql9WMRZqaVXgsfFHdFWi3UbYJPWejc8A9ecjP1dz1ryD+CRnwCK
vp4EQohtDz5q12bwds2BgzvZCc2M0y62XEMbSq9lmvV3STe83WVwF3m0rAkIW0GkUnlquK2tV7XZ
PgAzcXFHzGvr1ALDXI2IzuPpQKGB2Yd9Iy7yaKFCzCyGScDE975e/WM4dbtKtP9gqk7Bfm3iSCUV
xnP6YvFKvcnhTMnmNRd0Utls9cNWbbAJMQDqdo3/fmOd3NUiJK4sYq1mwkSGbzlBbRiKYcIvJrns
dHAnMsEk04PJDkP33kjedCZ/UvuYCAKI/v16nvgYwBu6DqpF3TpA9YG/5ZBo3OXeLvDI45nvAWV9
ogqQWV+ciKsxbjqw633LO4FJKVuX5uTiJl4uEtDcVR4Ndg0owixOMqs98NgNBnuHaGS49JCz9EDi
uW/jya8mDwCg54tAwcDUMagDUV7eunwfhh6KhL8unpDFV/nJVVZP2SfOk/QI0rd/p0X5X4gxcXUo
cKeBAcsDQ0MQ6LsoFm/svgYKSZ3gDDTwGAgi8AJP67U16rJe5K5KHKQFfjXJPPrDHDUrhM5E+GYL
aQVc2mHfp3QC00eXjZNT7QeMkMMlWKb4xaTHfe8SF3A06HAJZwuBNhHSm3ptnloj9pnEFdvuaM+D
bOHI7xPvPmpbUzQtnctdRnEBR8Fp8LHukaJk3PJjDppZA82+fRZ3AUcbpIW9EER1QGFpCHoOmn82
3Mv3ZVcu5ogNE47xGKQvUjIwL0Zz9xa9t3rnB3ViUw6BZtSH1UHTllzUKFfer+2QfN5nduetWa9b
rFYgAkAZADrgmYBLLzbzvrqBCzyqDXTk5hWLt0P9RWfgi+2U3ekvTnzKEH0qTvFkCwelC+W3PcYK
k+2Mq59O1X8WPYmL3dGxl6GNggOxiyP2xvKGYti3i6Kt0Okm92VyLopnlPGI3wETp23N7tg4FYs/
72q9gf7219MrbdoOl8XpFJiSoOwgmFSq1Nh9Ob8L4QnDAbVrCZcUDOlhW4+iXLWN92UALg+R7LH4
EqRI+qfkGnSwT7rPXnZ5uwvgaTuamSmBWaItje9Y2sn3S6vYu32rO5HaYMwqFyeFSuiMvGy9Pcp+
3lWvhUDEr9+zAUu3XHrQhC3TCvp1Dj76BIoR+3KL2LlGMy0zCj9PKwzP6rJe2rVQqd1pcydQp0Fs
i8ZMeLXWa3KQIHkuYmLZvtMxdu5Sb+pDKOShvMKa5BZ5zGWa7ENkERfRKBQHybPAxpNTVSUAyzY6
+8G+jgdxQY1K02nOJWqq0IQqeGxDqG7Sfydf9VfG5YKPYmHrFlL1YDqiMT3UYfBJDPv6iFBQdFxR
p8xCsxqPLbPdBOBmq8HGvSuAXPQR85L1T1fJuwu9Rd/9bXvct7QTm0Ln1KvD/8fZufXYiQNb+Bch
2Riw/Qrs3b373p2kk8yLNckkBgzmYszt15+1z9MJZzKR0EgzUpShaeNLuWrV+vDWJlHNmRfldyuq
P+E7rg/5l9Nirz7qNeumuGaYKeN2kSWkmDRqf/73i//mJNpzEuNgbRpImuGhtBTFe7dZ9YDTqYTV
/nTIn4QCFPbrF11CXPeFxdi4CM3zoeEjbJvH4Q9H6e8GZ7dCBRAZIOsRjLxXTwa2b0sijsUXeyVS
0ZuQBRseLQhH35v4VjXTITkmuJG/jgnlkMGVHGMSO/I4IdH3v7bH//1JfzMi4e4OCqCHsZ6jKhG4
1dzNyybOsbGH/E8obL9/ffMCThwFDETBcQnE+2KRCJGEHzL4wcN3t1BglkC5RckThtWw7m5DqEhx
l3HHpkq4W6SyUkD9XLcWWbK/tZlB4BrD/uDDd0foHBWiLUc8vBBjXo7sXpg/Sct+s0b3xkRd6bWG
/TrokYYxntoodN8X8FLalI0jPbip73VJK5gXKnT4KbOuqofBBlMWLfUhgxh82d0yBWBg6KsQk3Jh
6wqz6GTOdRj/IdL9zQDtbYpaiL4JKHIoIAaTfVuL77xKctjWR394/m9W1F6jUPMOaXl1fXntPyQd
LLPpsdYMMOp/XU5RpAKgZ665xQ6W0G0fXioh3bHAa69/GjRV60g1oFKdfZTtdlsw8Xpok9nLnyCX
brolwXuXtmIQbIx9ijzgsdTiXgHVt5A6rha5XAXB2qmx5M4G2zFRGIDvv454RftxnFt8TN+2jyO1
z0kN7/Rjo7KLdIEZnII2AprOyvIpifQtP2Q0R4Hv+vWtt9ptZCTXTV1Ebz5uHoUF0vnYW+/WZki1
cFGENDGQChyws/7zsvqDwf9e/7QEw4BWfQzJNK8firG4yLY7mLTcy57iKOj6NcCLu2VL1dB8CFpz
bH7vFUOURrDmmLEbchtetbHbOYCNYHZowPeCIRYpqycOdqkQMJ1KSHDynduOfc09UxZgDpDLLGbK
oIrXqfHPXUE/HXvv3QGKm3MEwgTWpVjqt5UQd6rQbJP/98N/s4nvNUPGNJAjQLCCJHH4WYVFil64
m2bYjp3PewQz1NnFNAwwCIVz/grPBTu+dWw2x0LFPYcQyKGpUyO+6FgvUT5pCcFWETbH0i171VAA
1oAh16FpTP8WM3ZJyLGCBd+LhgLr5h5cNYTPplNpVcQvepLi0FQEPPfXTUtqBNBAnMWnqa/vKlu/
b8Ux8RoIk78+GoyCKDSgHp98Iztwd+YuW/h0aPHzvWrIRhP46gNiuW4O8n5s71fLDn1KvpcMJUGL
2xxHqMLazabMVSar4vXHfy+hf49T+F40VFeKE8nw3qE0j7r/YiP24diTd4emSci0Vdc7nABpCZiZ
DTLH+Zginu81Q0SwgFPkKU4dDR4B3l6i7uOx196dmthjScI5w5Nl8q0a+I9549+OPXp3aE60jmbQ
koDVloAIMgPI4nTMoozyvWCoFswz3UbXWJy/oQp1duVwyLYfz94tSj9NSdG6EBvhZMkpsSZMIe49
JGDhe81QIScwyzxGRYMLGdnx2frk0AbO94qhMQRaLFwBbN6SKz9oHF6B7juUGUI/4a+7CSmKgQmG
8S7HCijBjqUrIIqHTnsudqdmJLwBwuN68ph+eK0Mqz+KdVRHH79bmsFk6Ki6K8i6YUB2h4+NPJaI
53vN0DBp31BoH7CfrC1YiUAa3IsZssFj58NeN+RkACu4iEQnMJyeIlfkshDH9tm9XxEdos2An4iS
nA9ADduK7wVb3w8t/b1saIsl6qng3IJYVDxNJCH3grbJsam41w1NPSWAHuLFfcKfxkB8gPn46dh7
787MuFYhGTyEzdNoJpKOuveXii/Vn9qPfnP87KVDcbLqOFGQfnE3vddhU6AC3RycK3vx0JZAOt0U
UK0uSpx6pp/UfMy2je+lQzB+DWzUozYMRlV4l3hFMnBj1z8s/3+Pa3Ha/Lq3jEFiRtA1oRMMiyiT
Vcd+6LBsy1SORXHwy4a//ozCDzB0AhME/fSzSPsrSTbg7R9+gd991t0hSop1w10TKghS99FjG8CT
GA0zx9o9Od+do61Y4TPiMTxIn92vhn2ToNIde/O9jsjRpCpLhwpoHw8iI0Zchqqd8kOraa8kIqh/
NrJGcLu6JJ8KVQFamEzHdsa9iVEMnIYoyLXDwdCySyvAHUuAeudju+NeSQTE69T0YQ/kgy/PRDcf
gPw91IoEmtSvU7GbaDDDTQelRCVMqkuAQdV6zF8VN+RfH26aWlNsuhDkyBUAt3pzuRPl0S+6W6nJ
QpZp5gBhJFxncpDPJDlWMIe2+dcXpz3Sw8ZQpMsSEOQwMf+Zx4NTZbc8m342Rs+QhzSVBCi2rsyp
1sGxAiji5V9ffNVJLxeoLU9FNBcpI+V9MPpjhhd8LyayAHyumpIEQFZlnyKr/WlI9HBs9e/1RDR0
nsULxdPDcUhJOT21/fB2aPHv5USbXaoOTsoJVHLrcsc34MrLpRyOxQB7PRFgk6xiwCGekuF7WMkv
tTjEHqF8ryXqF5vovr+qklf1d50UQLIuxTEzKh7vVifunk2/tTVyZnqDUJaX6/AQJIv8dGzMd8tT
dkFjBtSH0N4IMQsZY5DIeXdsFe21RF0CvpsF9RslBHYDw9KT/2MH6G/Oz70JkOqErVE1wyXUx+px
a8Zvgilz7Fa0VxKNCC4MCMpoVvN9cCKt/+nacbs5NOL/T0E0OX3F3CPJ4mV5qpK+gnpDHnN24XsR
kekXM0iBp9vG5aaKQAtvD7ZnAzf4674VjkW74h+knjY6phVlX1kxHVLLQEX567Pb1hsJlDY+6Eju
TR/+LbQ5OOK705MCCSTjax6RKvVyfXQSz+djH3O3OqWWlow9dnJgQnPRVY866g5lP/lePlQzC+T7
LHA1V9OYLQiFZE36Y9v4Xj3Uusb3W48+G2uqF2X7x/lP97jroP5/XQXfu/9o7WSyVRsi85KRE/B0
8TfvAmRztmKWH4+N+v78bBUJAlyxrojbi3IMsF/kQQ89e68gCsjcdKYp8EULM77WZqM3kEPZ/L+f
fs0H/cvo7BVEtuljpiwu57VaqgfbDepjPEwQWKLRIqhTWYf8ocag/ly6hB1MTu2VRWOjpqqfNK7W
rnnYrjkYBZezP+zx8je/0W7dDgkDo63EsYrmYfKxGeImPFVSDOgJXeDLdurnJQ5SO2yuzZTiEQwP
WeCOTYS9+KhdG+lKETC4BWueiUi+A5LO/vCtot/8Ztc//z9d4qRES/EEVvmpC5PP7TCajFJ1zPqZ
7+VHzA91JLVip8XNJt14FOa1BAP+v6fZ71493L06uDHlumISxxV5jrotvE3WPjq2Me2lR3BnXpQE
tf3Ur8Nl6qD3VPTYwbt3QFoWG9mAVteKDxJMmK7zK/TC9R9uUb9ZfHvpUSJjIbvKidOCxgZ7KgUV
n4hpUfKdroRisKUd6c/c1kDOL74Rw7Gjba9LIq5dwIpECkf6KAYsJArkg6LWkWMT9f9pk1CPBMgD
qyCppi61HZ3TgJpj++FemrRJNxKuan5iXRN+nCJfPZfTUFXHZupenMRKok0AOvqJJ0XmtNhS19GD
pbK9NinsxnDWGgNTz3OVrwW763RxMJuwd0pKkkDWYsXDqaz6Mwmav8dtPaYb4nt1Eu5YwTAF142t
EOqmtu+OtfZYOLTXJE2QlXTFiuNASffamqZ5pobQQxo8vpckuevmXmpA0dF0i9gzEX9d+3D+e1f7
TWixVyQtLV1rQyT0fUXvvwFEVJEUgXnP8rGr1w///UN+s3XuZUnOdIUhAUbHBMs7AugxpZYeu+Du
dUnEoY1onbAtk2QwWVNCmGzr+OBs3wuTEtLIdnHYPJOY6bSFg+R5CJvqD4P/u3G5fpT/cxourCmT
EQgrRC7zt1CZB7ikH9u/9lZBcJRigYB9wmlaaAb35adWR8cu/XuhDKeoObcMY7JtBMnhUoewInLH
WpT4XiozRq7lbY3cVr2xORW4mdP1EK2X8r1Wpt0IaUgFrUwwuo/wM3xueVD+IWb7zbfcS2Ua0OKH
3jfX9LAJ0AsqTqXyf0pY/K+g7F9i3L1WZivHsSqnCOqHZhDNrddk5mkgiyC6aWpXv1iimjVtJXbQ
TBQl/xRAQTrlNIYTQto3pvC5hwju+v+DoHSeOxX+ycOA0v/dLP7l7fYyOC3FRvSEkgd6kIR60C5x
Y1qKKgxSP3rN03JokrdSe1NkNGnj9ta2bGm7m3Aa/bSl3brBDRfCqGql+LMFXR1VRItL6fn6cy0t
lynU0ybXWvrL1I7hei7iwIx5t9rOZCsQ9x426x52cfEcWHjs+JKnKuma93arEnGSc7k0ebVNymSh
t+pbPK2dzUtj5k8L6Yx+hPyQ+1SJvuizdZ3827xOG/8ZmkYVMMCqzHBn22Z+XoH1i56qwojkAWZc
m37YYkAZ7k1gCw2M7TbYd1Qf+Xy/zlXbNulM41FtqRiGbgEInQAIyJexgW0kAFBiOQOtvRnoY1sK
ASGr1XgLTKspb9oZCbDPbg1XebOuog6zwQ1KfwLHsX9pWlz8njcR13VqWGLLO0miijzZaqAskx2y
2Q9BWzTzSzz0dmFpAVucGBsYbSWSojVorU1Wm5pND36QS/nXTEPaXfRqEk/RRJYM5WvAQNl5KMLN
w3WJesLbVx953aFsSyHTTkM/T/R18MS6CyJ6LdJmaYUD8adetzPosoBu5/GganeKCt3Gf402mHue
DpUP6zV3hDsh4Hhu3AzigW+M/D53vaI/QVoY+o+MQ/n00NXxbJ+DiAfyfpgD2Tx7sU34AGIyyqeg
Nk82ztCuv27Xl0QZr8k4uhqKj1Pl4/ZZV7Gooizqgdzq0mak7fgAlkAi3k04oPDkndlUcVsRjDJ6
REp9FsWm2i5NoPJ60z6m8/PYNEhCcFtMVTY3s3X/yHZWgz+NvYW3Pxt6dw+lsxgZoutYJATtzsv0
waoKdQWYNNX0Y60KFuZdq0U+uI5UebA1FF89jggofTZqi4xsc7WhPNOMTz0P+yc9lREsEXUjv6pI
dPouEXzATc8pPWz4hYKqxt2vj9osEc11cLqbFqNAc0bnweWjicvPZGtbd8NkE9whIzkESNMWDTmt
Qxe90L6hl1FMrM9s01ZhStfG83PLtBGpjICTTkVfg5EJ+2fVptNUIzddA+/wtSntvKZCC03TJkC9
yjgy3AhAMs6wkONf0fqNmm03bG1mi7Gs80jNw5pS0XQ3QzezL/OQrHHq4q4zECqXYs7BOtb+posj
9k85TgFIqFXygQ+ybUGFrjaVxzzS7W3bd6jSTMOmUzLF8iNbY5dbmczL2cHupHhatAzOAcgO9gJ5
ofva91Tflb4o/g4NxVsZA7vCrJ6TmV1Gqcr2rQuA8MoKCk+dfKubXqa0a+Tw2q/CvNYt+uTTYVb0
ZVFGFLmrCBF5UosK5LamvbRy615VF+CytsaBmvLRurfa9cntykHYyhfG5+EcNHbtzuNA1/mE6Dk2
Kaw2/I9BW0YeSWHaIoUCpa/udeNRQ2vRIDZfbGXabFBBbW/Zpqw74cxd3SNUwRcr5uEH3TRGp9FV
7oJJa+wzPbuYlo7vtojw11Gx6MesQp3otUA3vkhDssYvy9Rzcwf+UgwtgK5cfGbRIj6Ynhp/H7kO
rUBF283m7P1WBg9tXXl3C97Mcm9r4JJT0cGVKZs0C+eXkFXwOGT9Vp+bYV0WkJ/Jun3qrFhuOGok
D2VUVDanDA3GcYSkxoPckppkS7K26JZsjXuokzmxP4e5tvysY8+XVBoxhGnQ2nJ57WWBWohmW4N/
R+hYRgXQCHqic6xMvjZ2giJokeX21sbFzHLYCKOzjvhhe4tibBlATMjOfPVyhFU2iHgTy0tbzI8K
6l4UuMW41Kd5DdmaiRJWUKnxifE3ZV2DbZvGbKpThk7ve8oKdp6aaniXK1iG8zqI4bY3UPTeDeu6
Di9zYzuFmhNEvslr166Vf8RZpOJHN8r10yo7Wp6DDY3XN5UI4LmQmZ4BiwZITfJT88Shf1wSptAO
WBp5V3uY810s3HmNSSvdsy73I1ywHseplCWwUJRU95hR/WMhyhJt7XOjUX0Fque09gWdX+2VkvbM
4qplmTcd/SvicJ5DOq/RsJi/+qZ8Eh3vi/qeaXif5LDBJKqE68ZI8zIS5DS2+mfVBeM7EvZbjmYU
TPRCyj4LOLzscD2I+GuNmtXnxLXTd7nVS5/SynOZKaniS1eyDh788/IYOeLfyioSSdYOsATsTMXu
3TRNNo3mtrlHxkZnI9roMtrV5BI5K++XdhtJPosEJEOBv1R97VzR/RWhf/fFtF2xVGmkuqTNoxbz
/g0CMRfdDmwjNl24I8W5qo2ssmqupzjvQ598pUomyKwH47JlWNVRkLah7+k7FpVX+SJN0D/oeitg
oVdt7dk4VUY3kFlVXYqp5+7ryMERnWy0uhQMAOEsED7qU1jv8du2qLYxgxXFUNwKI/kjKHK9T9sy
qJebuKjK6I6VE+18NizDOs7pQFbHnjtT8CibLYBFuTS1fq37LunzzpHyow4HV6dEzWzMXFWPqfXA
gaVDkpj5Kagk91nppLm0tm6a+4Xzrb4ZuQncWxjSzWeQ46DcxzRCEC3Wkp2F6IL2tqwqjsyPj5oU
Pj//NHSy9jzEceVyGWt6Z5a2Km8E+DX9qZ1JmdeJcBmLJoRTzsTt5wl04ykdHc6AdKX111oM8r5E
R3gKL9yXyvQA2ZasCrHTo4XG5MVChTuHiDjSBYtRpWylOKQnIqqnpS6atCRmJmCBT7ejwR2Cz5Sn
rKUsxU9q80Gq58WXX9YO2GC2xOx2KSeBLEyXoObNRpxjPqrg7hks0KW/jsQ38Z3yRayzaemcfxy3
QU1Z4jSASl1fBMmZdT3aSzVa/EKfIojR84USy/usHpvKpEu4LebciWTsn9hUeJ+NY8P0bbsZeAov
pSz43cgRj6R9303+5xrWsUyjrQbab0IQPudOzaLO+16HJCspYgf4ry9k+CwKFbi8p0L5vNUAdeKF
FvcRebKuzDaYTz8gqEfPPovV9M/sBfxp2kiRMpsNZtN9wnv5hIzspm6CGMHVTd26eP0oh6GOMZfD
mWRWj2vz0hcT+9LFXYg1sgYtIhSpgj4TsKBtUBcP2zJ3DhZvNyyAC8GZKYAGLmBB1jJngmj9ptH7
RJ4aGW88RTigbxtLgxAj0ITjE3qlVJMX86xk1tWSfvY8WAxyb2Vi7G3gQdlMbYm4NZNx2bCnGgqF
IjOlQ9/NtDjzPIUjyqBFBBOHNNkg1buNZWHq+74Q9CNy8xPPsG/aGx5S8VwtKxnzKulK97bRYX7D
e5NvTCiYIrYwPSgvZAMLJYVJrZi+b9MqwhNo3sjTLc04r3nFS8ff0VycDLcJvr7h2cCp1N98M4KM
upWo0qZ6sfJjLNqlgqlzkZBTAChuma3BSOxZW7jr5n4Y/XoPjyk/ZJG2YZ/XHk52GYJ+8lBqu0yI
fl1t7xv4XH2GU4ogadt5eE/23bjAWJR3y98ytAstIDKZZ3vrJmzQt64ebXtyg0F3HN51kuDLV3EB
cSSO3pNnfVA/Yx83y4fWo8foflsL3FXDZTXNZVliGeYDB7MpVwvdRE7HMIqyjSZ9dFvOocB+M4UF
LLvHcR1v6ZbgGjhXoB+/45uz+B4k8Wb40VkcoTdxEm393yZEe1HGEqqXlzUuVvrKpsAXJ9gEKZHb
ijTnJOL0SxvS8algOPvzkPY+xm2hGdH/wNBUnNdRr7Zc2tb7284tFctFVNngIguo7V4RiDKfAbRZ
Dp9Es3Xdo4HbGyKuyS5IfRTjcCZ48pNVGwLMpilY/akK48Y/VDbm8ktQx1H7ZQobkjzTZZzF7You
3o8Ti1mHeVZ3z+00xOXtAL5PnCOspibr4fdvT4uXNszQ/EDkD8agLWzTkm4zZH+rDx4CnqjxLupQ
9si2uq87rJiu3dK+iiUUvBySO36HWS8x/jDwCZ5LolTwAi4UwoFKBVhB+NhVkdRop8J3OrOVrDNK
JzA/S2kyeoJ+hWj4GI11gkmHvvGl/dq1vpq/S5hQqu+jUXT7R06Yue5nGGKhkiursR5wRZUiUZmv
Q+LTlbcLO7n+iogrSznfe+OGKq8XnF6pGTQut7ocy7+jJkm+LAB4XbPynSYJcPEcKwBVolmffYMz
c81ZgP8qQACMn5d7Fc19u75QEC6LNZMTM1OXYy8oLD6qF7BEqXBpavOwcri9jMUawpYPNUh5gs2v
MzkrzeoycBBCkkKJozvsCgtcQiZctt8ng6ZzJKHRmtjwHGEjgdl7whXEwKmY6jX6QsOKcUQaLQ2y
qKhL/TzRmekf2GZ7m88Sc+lc+J6Li4inDrSFWC6D/CqLIXRvvkCG4M22vKszFydW45ahPUDCNcPm
x7GPqlNMqS4lBF4j2x7xWZPyfgP35ENok7K6oROb+ufAMRrmE3aY6q5t+/kDAKggtnbWF9FrV5oJ
0SlyBeSHj1lET5ygtfAWoqZpywaE3NMHtzoypfHWNPXd6mY13RSOMpS5tvAnlD0zSedWL38TNBF8
EF57tIMEnRvgbOqZzevWR909n+fyh7Wrcl3qQniLIYRvDWYhBeLQnOea8Aq/pYDXv+uemk60t1iE
/ktBaiVSNnlxGyab+FkRjutqQmoeZyuKJe7ETMnrxxFfpatS03tkqdN1bNo63aqZ4Uv4LX4B/RpN
b+sWLSnB581nN0ZTHsZ9+JLIMbT3DOU6htgHx1uqaxsPEHDWPoT1sMOhB/KlZOewh6fqSXYhM98X
qq0/wVfURcAbFlRibSHAzrpuQF1lDAiaS5a4jp9DCbzdSwxiVpsxpKFttuGSXOflNrriflvK2GF/
qwuWQiyNJvES98/xwmBA/7h6r6sUVKlZPLhoHXCHClpWuhRU2eRzXDvxD1sCMn4l1LnlueDoxDsj
qQtT2bCNFX6FxcYggUGdVmQJQPSveEQfP0wiECP2IUo9hhwucvATbvrK3JJkbgBM96JNWAbvCvpO
CTJP6QKriQ+GcmRlgHRRuGkuSSsuOG/QThhBLHVBZr1NADYzTCKfAwuGjAT9UEIqgG0ORi/TgmtA
0pEo71ULHZtvdK/uB2o3kMgpV2GGK554m4te8pTIWdisE678ksAU7TK2aggzHTbik/ICaum+k8XH
XvfJZ+O5iTNKTPk32r+2DwKYCLzkjAMdN59IplPB5EsyqfIvTnxN82A29oIfsr6wlQUnbKzm1ehq
DBEsLXOTeSXcTayXkVyaaoWCOoKfgso6EwNYUk0iducNYYA+w0y70zjnPOhTs8KWeRcMc1t80Ffh
71+d6RDmhKjERD/RlquLDw3k9SjRUJxSyNfAjzUrFRJtT0aO9YNbY3KqfAAbnxLD0Z+GoTLiDaa4
ZM54EGLXVTi1rM9RPo9VPngE9z0mWECRSgvqIY0XZJGybSkamE4jO5LG5XIysn0KY75+mkPjb3Ut
yHo/6tYO391CFA6LZhz1XbC6Bl2QRJRMTmmFlpqXhTBWZ9L0TZ9GnAXBC+vX4nFkhSCZHjt+2cQS
qIuzC/y/W6N0+anRoOe9KFFGIWJUOi2ZL7V+JTwEgUk63zzFbmIAkNSqXR8XXKovrJ/7+1WFkc9w
d4LLUKxwkI64kpkXG0XiG23quswNR2SStnEpPzDQRe9QCu9gY+WnAVHmVC7vyNFYRNABGl1xtana
8T4YeILC7DCvn0k7zxcVDBtLa6mqp25qm5815by3yENQ7BZqrbfmvplw4bufBiGr1G/UL9lqFtzz
Y1sHMIeK8c1uRFVPrkhho1OqDzzWnbgPqqC8qztTz9kQmSW4C5X3HUaTjz8AETQ6jf1Y8JRu0drf
RDCZ+urFskwZ4jj1XIZz+BAp+ep9AfEoDO/EkmPb3B4dK7vwoUaR+wca6fkrjCDk11XgcnFnC1qr
24HWJL4hUbL6G2BehjEd+7l8i9Ge+BqNqujTQfH1K9oW+ZfQzvbOjMyeiJ3Oa4FcS2y/zwxLIo2c
m7+gfhClUMcgWkO1HjtnS5407pfPDPlvsLMcJAKnCeHTe0G35dLj7HxFD40LLk2yIEVaJ2p+jWS4
3U2Ox2W6Klnf6e7me7fN6biCdLZEZM75zShhLZEl10xwQSv9Iax18YUKTK5SlBbapSj2N2BHoi1v
gHyxy8bG4FNUwBA9rboOnxK9rX8rJPk+NbFyz2snR3orLX2XZE3XefgZ6+njVtcUieVR67sq3uB5
JiDpvI/7orjgwwRp5wBZgY5mbtZ8dMPcpBj++JMKtmXKEwTPQ+aDuoRWCDm2n2yDwRxWA0MOGiRH
+SZxaX4upRfPAasah1Nn1S6lmLZYp26tXysyL9N561hkTkW5Iu86kaj/CooLCXFyM4bsfBO8UhmM
F8rICLSLmu33KN7WH2KdOoIE5Br3OBIa8dPCCe2fKJ4q/K9JP5lMYd9VyHsgNY9MZBF+CDUS1Gix
m/3XPrRNmM6WwcygHoZR5a3k1ZCGOlYLgsN1efDLUlZZjPz8R6hg2AInnsBqXErd/BdShJ09T0kv
fmBhhbdJsj3ZgDVPsqLmkW3DZNKkY/65T6R+xHbNv5kGMPI/qC5+U2zaWwPA13l0XVxCFs+n8ILe
1TVjTB7zweF7QkpNkNoIjYViBFM8mBBu1WHw9VgpeCcC12VX9lN1LR7S6raasB3RcD6GuuHkOlz/
p57aT1HZOkCDT8tynT8dyOHl5oNjvQj7vm/K2rVQOEZP8Nqk4rZMyHYXOlRCj+ke943fUKtXSHhD
UjnPyRtRD6Gsvhwa9H3T97pWSLUUG1RXkUs3nbwESXhsJu47vlFcQsOHxVzRWn3r5uYrHcSfhH3/
PsuTfcu3t7xWrMCzY60+O7FlFT+G4Ev2Dd+lK+u4WlCtLQL7V9ygjqWnv44MdrJv+GbYXxmcAWBo
ZkFyiOeEoQj649izd8JANvaFxK0QTdlN+GNDgUX2dDlUwIZw69fFg9IRGmL6a3smD74BEjfmVNfR
IREaLIB+fThuNkvDYjRowv2myitcoN9RQusPKRISyX59OotWJBDddRJ6qh4oUhUd244+fKf7K7CL
z41pIcb07ilZqyzs3CH7mGQPioBXJBLvCZqnonF5R2oRBPXi87GZspPzihG1sgDdPCc1rOylNEWU
zpv2hzaUZN/2jbJoIreiQJd9gFLO3AcXXhXHHJiSfd93PBMiE9LBuIshN4vaBaQLuFcfGpd93/ek
F8U32HdBeiffpx41KSToDj57tzqbBc78yHRDXvI/7J1Zb9xIlu+/SqPeWcMgGVwG0w1ckrlISi2W
JW8vhCTL3PclSH76+0vZ1WXJHmuqcTEPd6bRqG6XpWRyizjnv53O2BfOuCkq8S/tPfZL3/dkr23k
uHxtsNytqrJPXl7f/WtX5MWr2RGfactjsJ5jjmugzHzZp32/hv/ap794Nd0FYUEcEe+YjV7PwPAu
FAyleGXHPHokftSd2C9t3xIch8hevDCFGqkdYzNikGqnz8guzAZeGFgry5t9aYv52witf3uY/z1+
rK++fnr/j//gzw91A2bAbKYXf/zHTV3y3/84/s4/f+b5b/xj91hf3JWP/csfevY7fO6344Z3w92z
PzByF5XsG8jg5fqxZwri0+fzDY8/+V/9y789Pn3KzdI8/v23u8/w82HaD136MPz27a9OPv/9NwSR
RG4gQf+374/x7QeOJ/H3386S5f6x+9vVXZ4MY5Unikfs62c/+4DHu37g86zfhWmZlg0lbuq6czTN
q8env9F/121LWOR+eED5R4d0hdY7+ftvpv07U8kk2R8e1IOlH+2HfU3fx1+J3/lZXSKQMXWJI8z9
7Y/v+exu/Xn3/laN5VVNM9T//TfvyVf/5zPDjm/YBo4YqlsiO/iGLx7MzBG5OdH0byMtU7e1ncu3
pdKyCeZtiBMsxHE3hcRlxx0DroXsdscZlddN25vnZZ6bl2k+N0xoG6V0d3nUZyGza40+HIWWb81V
pBdmlDZZsMQlLIrsgaJ1fGYQn0nu+V011FDaRr6NQEkkOOCqrjv4hgpFSswIhLpQa+13JjLhXZJN
drbpq777ks+xNYdlPzZO0NaadkARBcdS9Tjkg0XvUqD51PEeqYK9R2A5Y/K1yrAZiW6U9+7Qp5CX
ncpvHQmEEcyFp+kQGUt6XQtL3rgpCifIlXQ6dUaxbi1v4vJ4fZmEhJG7p43FDFZ8DjJ7dLrEMIgn
nBJ6Rs9u4qCIRnFwmCwb+4ayilPRKxCmpDC9R3wxKfylZ1uPHikQtzmCk3DEq41mCwFA4OhllYRT
qs21n+TaNIbSsvTSz4Ec91XlVe+rzF1CmXWSbqvNbzrmfV7MRnLUYjQRUSyDyBO/TJv84KkivjLt
JT/U7ZingVX3wynjHqUMzCRRJ2laOBd0i3KXSC8d/cpA+RFUdZRq/lpq6h1iifiiUqRFVROKkaWd
V9cnbbwy/Dov2jhotGo1Nr1eMnBVQTgedBy4Enx2UrcF6eHnhoSKn/EEo6DpIEF9AktroOlVGzdW
bjU7F7nCNhu6OizdKelDFL1xEuY5KKiS5WyhqVyrN+CZ9peOJNXdwlw34Xe9aQOVrab5wc0zYIsU
JD+smym+0MoOEcEEnUgCuGZACRT1BFGViBLSqsySnSOnaEP0Ew8grasxh5EY3Y/AuM4bq5/IDRvW
/uBoqovOUK2ltT+2ypA+oCkXrkT5HoXpOLjBmCErCC1mU36uk7m6W9fRGTZ62nPTEk8v9+nKOaHI
mw2/S2bznKgZ1QblVA7NRdUvzfkq+Sl6+eJc1IvcLWtbNuhv7HLPpZk/RyqlqZcJrLEmXeM8qkzv
pG2r4a6D1SKB1FNhFmvxSVSUwxQ2UjMuBYPRA2eI4p1nZsqPEvCeVmcD2DapXFeYT6SYnIWZnZZ2
nr6h0UpPFiYIu740YCxBXN0MNvb4Vo1tDdNit7psSPSE5ag7tQ6+IWkt/ZzXsvH1zCGQX0zkZhGN
YAChZkmTT4EYrBVcdEzJ19HIqCLuRA8c/DMek5LAyhZTfrK9ojx4I6kZ+lRUQaI0eRhXYkm10sz8
yfI+DQwiDvJE16+I7Sn3c1nHn5oGRLZa9fowOiZahKhidfa7MkpvlywVQdJptfLNZEDnwCi28iot
hHaqQTlcLVa9XmheNm15z9W966TJvVD9+K41apGHWZEMse/B4IUNyT1vTc8aUFbAj9vImZqNzc44
+bw4cx2KdBrOjBJNUtBlrmEGFfmElj/3g3if24N3aTYx6oJ6iYYdKj0UCjLPTophie9kbM7vaoe+
APGEsK6WMUb4oNL20I/zcF3bdrFfRS0fjNiyTsp5fjBUGR2SOGYClHnEnUiIlKcophy4n1ElXQgW
LnR/Xtr6BBmTe9nRm58pMcWByRTNsDdM83qo9S73pZW01+ZcFu+SMhv3fe6Yyi/rtbMApHIGB+cl
T2tjpMOdnCRS0Mm9hFNVBhyVNGpko0V0bhZSr4N5SCHcjDnqPlZFNz+aseEY266HvAwaiyvBs+ms
ZZAZnXtW9FVs+tlUTgLecMyWLWqwCemaZH5wKRJx0atBFtu0XDt4fDtKt9PQddGJm2mMk2nHpEtP
3YS4zTCfetNvpKM8Mn/sPPOzzrRb302j7o0UGQRcFBvqYBI3sosQrQPLoUUYfKg5Ffv0uF4HtFeV
dxoSrK0GgvWuL3J3a9c9U+htBDh5pp+ttr3MvpYhJQ0jZEUA9p073CxpV/DUN0uvBdE68h64cb/c
p9LsrpIuLr5AW2vbTk+XW8EYsF0+ZPO7YrS61I+dRPukUJh+MjXjuGSpPvkYI63SfdPx9AtrXFDm
xNIhD8QdP6JqFIg1xrQbWd0aB41qpJkHLWmTSxEb8eMyCauDRVvm27Ga8yXQisL9lLWuyVq8VFnv
W7WT7Nx4dTZznsUX2RItboBRdT4XadxeNUbfP0yuMdyge5VBujrNp95TdSCXCfq/a3vngVENzsVq
auqO/KUlLGLrU5XkTomczEo+zAiWD27ppLtVDs1tkcfWfkkMEC2aUNyGvajeuHpmhIiQzc8WSiAf
8XYlAogKZ2+WhXu9RGl32Q4KYM3VDPfBjQ0vTJqx/zAko9v6U9lbZ447ZMSKS/OAd6s4NW2zvl7Y
/EgGWUDeCzyBu94WcL510/Ca6HNccz2EbBufGa8zWxAey/M6rvUQoHQ4AGbOBytNuy6kuKiuB9Q4
b2PddE6I12pOAXnBjycGXG+bYvKuutRDPsPQsWJrTS51QUSOyEnR6Q+x0t9M49EO3TvJNneXIiCm
Z9gYFq47R4MEqaEW9gMzrPNgYnkPs9ZsCx/UPPHXFSt8wIjha/wglAqdcVeQzLpJFHSosJet4MU4
uK1XnbnV2GfIyAtKm6RcLIZmiGpbG3p7pU1Gtkm9uINMIqobktgNoN4f+mP8qu8algjsNRl3mY24
zbe9eT23VkQCvF39216sjd/Udpv4eeVGaG5Z97W8QOc9pO03lRCYenwhotY7A3Nve6LkcvcNMnqx
X/VC3uhJb1d+4mA7DfKxaC4yfdU+6FpTR2h23e4Usrr6kjr1B8dplru4jqyzKNejj6JszHuiBtab
tbGRjsy9gIqp4tsozauAMd3dmUINePZVgFSv0xuB2tNP1oQSC57J72M5hLo9IYnPkyoLvqqTPGKk
9txGlsuczrlJ1n4fY/pCwijrGdZEib1mGPKj05lN4bvg3odOobdFjwyfIq3c/FKOSXFvxZl7PeIs
YL2YrV3RWOhZZFpklzb8DNWgaN6QbZBV1CNRu9cZ/nm/GlkMY6OGs7R1mEDLONr8oh/a6CY1Vr3f
1oMKS3ZjRoTLfYeq2bMUM9+jIpfI6taSaKrlNGVP28mST3KicfUt4ItNjfx1S4qKgDztKh/i+r43
o/em2S27QTT6jeNm6lyrBoQELxVVzRjNVzY7gUxECM4cBV1R78jrFTvXTA1fN6sLDY7mNrFniPOG
hWCRxFcgXE9vYRgHFHuLtp9Xnq9ciWG31r3a96OFzCEqKh5dBjciaksjhwgplfqRpj7nSZpuRydz
tmY15PusW7pdNLZLFBhLJT8WuXoYJLJMjD8SaB2p4icY/PqtHeHt1bOy8/PEOERYat4zc9u+4yp4
H9jCIY4mYfvK0vLrpGAculut6Vmhec3eWbP4UIhiVFvGbnhb4fV4fYha8YvyPerm9r2a5i9Uemdk
U5abrK3WcBbwhCrWugfkb8ghpvJksgpJYZJ+dNzFeTu0Qu5Gr7H9nHpzC1AaJJGUb9guHobYiQK7
crRgHec3XInqtNIr6g9JPXcyttElqhReEw8IKqCSmLnlLMxrPDdbtMXenSdSGSRTvjK5VLfUVimv
ukQTTt01F+tywfK2jcdu8s4LLXOO/87z21gUb+diqjZqNZnMtTQ3saPlaB2S9NyNkvmAVCLfa5M1
fWIeqAiUp7PxFQyW8RlAZifHUd36eZIwDcJv9alhc/cG9Hne2ve70YjsPVT2Ai0UVSfmoNSIWEv3
dhYt2d6pNO+0d4w5GDKoF3/VkG/zwKXs8VPt8qQgmOpRAlnGIRt01rG4UifOIr8U6ZDfMn1uul4j
W7tyTYmsw9UpDhroaAdlRkaPsSJWvuAZm3eIK9y7RUj7Iuuj8dxhIOulFFq/mwSsYGdnyalWkSlS
tTVyIFWYKATle6Taw65J2mHX6/OFKFEVJPP0aRUoMmzpvlu1Sgtt0cod4uGLcRyQp3fHIj9GeHE3
qYFftB2ul1GtWZiivjgg5+jPzSbr7vXe9djG9Cbe1gU1eOAgkN9Xcb44W8SveuHbrjIvyIFsKY/K
dGP3mrZDQMLLVi7LeR9D/A9rNZ4YddcFfVl4+OgQowQGsnLd14a6ul9HsVwkK+2pmw/lnvG26mPJ
poMCN5pRHytW6KLWo41ueR4+pz5+HLIVuVOb07YxKHRPEoK9ZzJXcloN2XBSuphHWnSzQYky+paJ
vOlba8yzxznXz1DlOr4nVZz7+WRl50Wil4+iX6br0SjH/jA5Y32jT516dPUcWYc2uPZ5C2ioB8aQ
jQ/InAp6Rrtia5ttU9uaNaFjg13rN7rnyB2Qa0Z1u6oQRQN+rKyzQ73nH4i57lLP68NYR4446N5H
I4pZDTT5ViVQ0nQ32z6v5s2Kj/0hq+gQtVG+95T3UUz5/Tqk2Umb2fWHpBJ2YGt9cWt4riBBPr9n
zwa69/oVfj02RciVceDY43Kf9Wt2Mq3VcDM0AwgF9o2TSOrdI4/cVKA/jfKbJUNVhl2MxMR8HmF4
2/5zRwMX0m6IUxSz/a6u7PeoznhRUpekoknsNKe1FPqCoeIckzrUZ2e9nxmdFzZucp2P43Ilp+ST
XaFKcWtUmq4XwahnHb8/aghuq8xbNqp/+hcIq7ut4WgfM9f92DWG+GyVPf1sTpBOoNfGsC/i1RQb
E0lzUC21vqeWq6Bqi1ZdeGs97gjbQbY0MXaVVbvVwoox4zdz65EDO4nxRtYrC1Ijx/5B1zp9j4Dz
1hiHPuhnqa4cNqJdSgl0odJUCzuh5rAql/5iJr7vbE5xZIwZz+/YNvF+dpvoxLBr3uDIa7WEVzGP
Pzhrx8TNjCo578R0i0LCqYJ0WmcfYboV4gOaT/q+7spQtjXyE3pmvqnUs93sUNAa0nB2dldkmV+t
s3tdGHnDdLZ82qJHuR969y5Ls8RPGnveI/+Qu1yLOrFFy2FUQCVOtG6zqKk+47tfv14gh2bzvJ6b
LHSxbG4LlU2oTzKDBYpe5WNmqiSsBrfoA4Y1jhhJUGy5qGSLunzr6o04RZOV411i6fGoeIN1tSu0
f7ygptnLt3ZalKAw85eIhjboi1SeREzsDo04KXElcsfSJVp3VKTZrWs1Wekb2M7SYFQ277CnMped
aF2R3lY9a8TY9/F4GtfMLkEZ34n5LOt4lGgqi9JHcmTa97JBXJQQYE0zJNzY2dNUzXQp5so/s8J9
22E5GXxCLzN1YsymXoeVzOc8LCo1eqFlOlhA6PYsaoZpsO41KC/zK/j/PxoYRkJ0jDz7z4Hh/7Pe
ff7b2V2flGn3HBL+9qvfIGH5u2G7piNAbnTElAC/3xBh83d4UWm5DsoOCdxCvMQfkLAERvYkMLHp
kLjsHbMR/4CEjd8dSb6uhyXeImeCwNq/AAmjQvkZjaA7L6OpegZEtBr5Rbsxzbpw1lc38NKl3FvW
gA4ezYy2rWwCZKj3/2mkWspYzZsKbOLTsStgJdH0LEjQyZGaZxf9wcA2M/mtG7WHJ4tVKXAxwVIM
Ymf94LNqZsEo1k6l0cmT2WouLPN29Fbn7KvhSu8q70sW27Z+klZMEgKKLNfdk/Uq9diM/Ehl+vVL
/9UYtcMHiLTq4cmD1aQzNjRlxPgt+9ztrxPo5E8ZCfxVEGVl9ebJkjXBvl0uc6MWJPFZIvDWJInp
x31eVxQM4z89Wl0NrAvSkRp4B1sD38ZI/EZK99U33m4EPAUMSQsF9kjFZhAXcdnhZPjSzcjavjdy
EWhcv2ssO3rbjmLAGzniKwpMIef7r74uysQEq2EvEq4tkrk9kxnj0HqyeKHCiJ0zA3gT7op6/m2u
L9rjD2YvbVxmoE8nte6/d3whArX2PRPS8VX2Lqo4p/bm8fzYGOWbUjjqc1GB2LziBWtsG2/kqDLn
AAnNGDMtw4+x7ZK1nQMXdWt0a02tVIHXV+6jxCdunlKVFGedRRSdP0TkOgTZgMs1jPI43c8YUDeL
QZEbyFpUyG8QKFFwqhUUyKMfHvcYyfTPEUOx7rCPiFsz0lwZ1ppgVBii0BVJsazbcMK+pADQXF2j
UenBJBtsnNN5OVWuGRYArq6Ps7iuw3mS1t6T5RRtDY1k6KskZbBhaPE4VxvQXAroNkHjtcH1I9+a
qZODNzZaWfqD7CvSiURLr2nMo/6ojpCcNqSgc0O5xl3YPqF2mg6AJ7BFIgArPO+6OIJ8TKs5WY64
n4XAda/rMCxMs2gO8xEfXKGvr6wChiMQbjO/m7UsvrNMN0VL1+UnzRFn7IzRLFHVgT46uWe8LZq+
5FzXBHiyVJPHhhwVw5nIVlWH8gnMXGxvbDaqW8c9/vn4rWc0Y2hMjffYPUGi84DzzTvipCnC6Ps4
OmKnbbRcrE2srtKq106HI8aaQdwMfvwEvVqQP5+QVZqzPzwhtOURrC24SaE6Arh8CHXYEdTtj/Cu
AufNq7yBIG7sw3pEgt0jJozBqTgMR5wY7wCQcTXG2A96erZgOOLKjbOuQfoVbCZudQkgsCS1rlmf
lsggi9B1jndtcIzogN1r3i82tVrSlXqzmRuc+fBQBT4YTQeOaTunbzZcHf1ONpZ3a5tjudF7ZHv1
WrxZqkoF8YxpGj10tZWaC3Uwy7G5seXknZVNMQdgtelDTVjw6YggD0SbYeasdcXJlJnphvgcNzDX
miaNwYRhgUVzI4l0DFvldJt6VaZfLbnD2AJLO7Xj2fpYxH2x+ClWiZ1UCKSZ2JteaFa+nuP4EJde
r3VhgkUq1Jk0e300dl+18RSF1Mku0NWYtztbJdaVPVr5jei15FE4FUjGsYjajK7hna3lnO2JrU73
Y8V6X1mxdopGWu4tZVTMk5z7GReeKsmck6XKN8JU632sef2eQaLpdakl2YmahzfUm16BGSK1QPwy
zzgqFr2zustx7km52G9Wvel9UgnhPlpokVO4t6W6tCJ0HtlcJ18yJgZf45CPboxmzguIFuXdx5TC
gdZ31gVgZ3enytL+qgb5H1ycCJ2dhX3vV9WJf1eMDwmU9131fXHy569+q0703w1U6oZA+fu8PLH1
313XMnTXdjzhwVlTg/xRnhi/6yygVCaQXpZpHuukb+WJYfFbcNkw2UIXukMg4F8oT6R3lOw8Y6x1
aDHTcA0D86tnvFTx6ShLot4m0uWr3hoQ6ogVS5IA7nCIRsN5VCjLfZstgzvsZsOImRi1GIO5JfuZ
ntOl20tvst6beLNsFYsw80Rpnhe1BaVq2MxxGHiltbg9IRWV8bDEiZQwB3TbulzPk3wknIaztPOT
JEZzfEQiWheIxxWLDZ1ZFev7tB0wDE2GJrOzrkfpGa5YTNC/w2PiC6kaIz7MXby6kKnSNKLLGt/P
FIJ1SXVXShOR/Nxpa3qAvi9okZbUKzuyPqbxxtbY6VhjwKJjfyyqfJpOe006ESa8yY2PDqvlsscR
CquqIaABj5mMGUOr201ntV4Y4jIbTbe/TU2Dk/Lg6LudSqJ+PkR6BltqkTQttliQAHQ0yKDdoq1x
cZaVqL9uPLMZLhfPTfJdA603XLJojPkmynJRbsY1Ikqe+avtld4vrYlXr1jMEAqm/WyKNToUeOLV
eacXWeeLuXQvK9tQCPhXm6aokYuZB5aJI8CvdWLAzzqU2BcDcuTa8TFG3XaLAhsTcq2KbWxbbUZ8
UikKf3YF/z4hT8UJdLu0JYjcuCTcN6UekzTup9POsDNtk8Vzmu90IiSHy8gdteQ0jRegUSsZSU0b
m1yF82jW5XlTD7NzksyNFe3bBg4hHRLPwG4b6f1eHT1eG2CFNfk0q4knqp2qcsdCm4sTI19iDXdw
W2f7QtAz7zGkGeGqW/grkpQM79tqmIro6NPTQ+bK5MY5k8iL/vOymninxWgNn8Z1yqvwRw9iDw68
+HIwdHxjRxMiBWKyS2Jv0WhaS4OV+f+5/TCzO0ryWJ9L5ATr+YCErmVDVslmWMDyNgVdqQHkgHo9
ObURVeAIqJFpMNPyvZU2ITUWIwWkQ3APkTUr8QIdZESzbXC+rz6mOUJt8CfJZKdiI/8EGdQYWHzw
M3pJnD3MtSXPvvM08m1IkekWMoACpc/Foz04hFt+NTbCqQqw+Qmt+llGBsf8iLU4w1tnD+/Nsj+x
i+ERa9LerlpcQ5Zx7dT6e5s0tG5rJt30/qsBEqOu/S5b3HNmOMl3OMH7UBhN3QX6oBxECfXkohZw
S18Qn1SFBmBO6aMaNQxANi1D4kHhcAB3UpuImh4fS1tOw6Gmd8H0O+Rfvlklm1mvmnOzzYnSYfc0
j56wtRDbzOMMv1onsS46jl9bU/QxLZPsvVbasQ63JLMwx6aL1iHWx/EUlCg+R1Zylk2ilFiBnbnf
WrNXgMbP3JfzZEpqICOhRH9iqlYlO71xRvdzh7HElF+sNCk70LbvrZYNl2/kUIbxh9VyFKTzbOiL
mh5k57nLMnKFl2xVGg+ufOaydEuzViey4UVrL35lspz6Bs4gTs3cu1lgOjCGc7mG0sGcAcKzh7fK
aDyl8S71WKXcFNAXVJ8U2PbBK6crAT5KB1NjzM7WB3sGt5/b6rFqYpESss4CYQsLFqTv/Vp5swdZ
FtknRtzp+FSAXdJKO8fAZPN+OV0GNUTs686wvOzcclVzg8Wm3cS4toa5ZY2s5RsHicTbpnWKU6S8
pxq+4Y2BJ3HqZveNYRAxaTfLwKyBY3pFM4WeqcWzb/dG+qHCiXelFqbLBDHSYo9qnRlw+6SZp4aM
I9xAQhtnO8BWigBh9hyxc+gY/Bb69n3TViJccAGyUE9q7xqtPJn7asXCh5ddsCU44hHq+aw0TP2t
teIBvYSk0+PTxUYVglKEqCLALRbmpiicD7zKpEwN9ZXheFe9wzp9/S96Tp28XqMtzwhwGv50AqSe
eU4thY8Ri1vvNmFUd6l5+GvO0wGnBxRcm4viJ87T3Ozn6m3XdfTlf8V5aiVeAhsbdaRkJCnOtDMa
+eXjiPQGl03/K+cpipnowohNB4nCK85THDyD2ohsiurDc+dpATOOPCybkV5IqWEF+l/n6X+389Ts
3fEyFblywv91nib/HzlPXYKwz6ZRRcXpX3SeRpGntuS0xFeG1bPD/jd7UJPRyA7JWsLa/kUP6nf9
4Te58DN58LNWi37ONNhRTevpP6b9chKCEm6FsfyIwpWCSNfJH9kZG6YV9cuHpd0u3Qenem26ABD3
d+3dH8cE+tat49jpl0GmBjyLIFOs2eTG2u2KNY0C5pjCOIn1jTssQW44BBF2r42/Odp6/uwqvx6W
gwLKC7rVr6D4d565Au/vmIu5YX5sfmiQFkT6oYzmN7++oD89iod+G7G1gfkYLfj3zrzEGXSt7lfw
JofMMCsCLBwyAmHNMX4lgfcFiv/thL47FBLy7w+F5s5OaoCrDdNCQa/GOSSi4dJD59SS5xyuURyW
QskwIoyaezqejWn0LrXlQ4O5+9dnLY7eiZcX19GllAJRH7THC5F570RtnTdNsymtY6xCETHyJtXR
4g0DKhBVd+5WKMvYTlFr+nobe4go4s9jwvdMFIKP1DO7XW405rz59Td77pj4epGONAysCdAFMvfn
F2msu2LsUZeQ7pfclYP9lnCYNhy8+hb47VQrtL82VOzpgK6OeAwS0wBDeRlguqyLFEbOAR0e5Rlz
dk4eGNkhr5jujhabFxecw1gMiyR+Q0fg//y81kmJdG7BNVdCK4tG3yUzIQ/OddP1J7++guI5HPPH
Gf15qBeXsPay3kJo12ymhoilrt2po+eU9lvZR7GvFhhmHZSrFRA68pVjfOY9+X55+vHYFr57myAY
QBLdAHZ6fppWgY8JABgCSjzqdbkDz90fq0Qjfqf1X4iB2+olt5M29JWTfk6RcdLHAzs29i5gMiCq
43v+3WpRucSUxROiUXwVfqXNTLXS/AWZ9lyEdbprq61Lzkwu3zXNTk/uy+GVdQQ07fn9PR4fOwmQ
mm0amEieH58MRiVWZO5Mc49PZgTMHMcqzxevutb6CfXlEjTiNT/XDw/Vi4O+WFEYzJKaYqq52ry6
2N62g2EDA7MbVPMrF/i1Q724sYJQicbL6UlbdDBniYHqsUsRlxEvtKJOqV9bLX/YdI6n5pmm5emu
5TjWi/vJmOZuWEnG29AoH/QUeYFnh9xFlqcNE5hw6X955Qn6YeXhiK6uk0UHlgk7/OIOxrnEl5iW
88bWxClHqvUKwmvaOGn3rhhEYOUIotqtnWVX/I/eXfIwER51/FJaVJ+tKJl//Y1+9kh9/4Ve3N0Z
lK13Yr5QWkO5WOrcPYoE5Duj/kTgTtHUgSVfMUu/dsgXd9mqZnvoGSG+MVzyD0lQrYz7icSwWps3
ESvIagJ2DNtfn6f4YQ9+ceVfrI1isixbiXzejIjiPV07gbfEqnDKYHp/IeiGIBoyws69/kuzzoHN
fjCDuEIxpsnHX3+Vp6kQz5bpp69CYeXoeLxIT3j+GmcIs6KkQ+jELJBjptlZDvcqAQhBM9WDEiee
WXyc9G0lPxwfSgfp7sj7ZiH4rb1mV0Kr5PT0PRkjx4ei7rKnM2iVvBjh4LREnrpoTDhOMNSfNTj5
rOhesWKK45P6i5N4KRsoIrm2XdxyEjhLfMN7I8s4SGV6AEu4GAD8bB5lnp0Z5dfxXXrlGh5v168O
//JFcj2CahqWwm6dbh173awm99KdT2rL2xgi2orlnaOaMOaqDsO5ysAlR+KKWDDlwUGhdoxHyyCs
prnddaQxCKQzVv0JK1/YO6/c8Z+tM67+zxv+cmqZWRmlm7csoWQpsnbXG+4s7PEuNt7a9gO5Qq/U
N08ZFT9eHehzBHA6HtMXu3NitIlqdR72tT8vWjLCidnr6wuPt4tzZGVJzE8E9Pjdqm8drXrt8D+/
OX8e/ng9vtsnZzJpuszJuDlJcTpE906/qxbiXnjVji8VL3e9msEgXX9Z3s0pKVPDG0e9Yof/+UVA
PWPjs2SZf1l+Fu2aIDFgN9FK8R7Noe+xkDascrV7xco68Krwxbpq2zOuKszV518/oj9/Q4RjIRnR
j/v1i0c0ci3ZDjO7S6XbcDDVnkMJiVqNILPGfmt250kpgrxw0SWM4SsH/+kjB2dHt+EcJUUv1piO
nPsmFTxymqNt2+zCYiB8yjJDxvjHXiz7zr6jYpELGhYSsIhCqzZ8vWZ0Dumon6LFJH27qIPX9/if
Pht/frEnnu+7Z8PRB+xTERvOkOjeJmaydLhoVXr1yvn/rJTAemlBGHqe+8Oo8AI3KFrvbxttbN5j
QfDtzrlYsnNeBGQT56Y6VwpN8NbMxYZFAYbwgo1v6dT+19/lJ2fs8VUEzl7HOP6f528DvFcBBB/N
mwaFeNvWhyhKX3njfjwELTOZYLRarieslw1NMhS1ofKZwgmLHUnU3pe6bl45jR9bSzhgQdHpHGsX
Yb8cGZtAbFZ6O/JWV1tH/zI5CgfrJ0oGZ7RC1hSlS9+OngoGoPYAQ9Gvr+OPjzTVPvo4GpsjRPCy
dkpyTARIYxbaSey7YPY3mB7vmL972yzxNlvaOzCN14aQyR/2meNBQQgQ2qGze7lXk586xY1K0Xf0
6MKle7Ey6NsfzP9L3Zntxo2k6/ZV+gXY4Bgkbw6wmbMmW4Mlq24I2ZY5zzOffq/I2t2VSuXORPW5
OQdoVANll0IRjOEfv+X8LREM6VowjuFKt8bCMDjeJLpSGqbaofpcVa03JeaOIq6H8+t3wm9iDGHr
Fk4TCdlj96WJHYPULO6LaRd39VR6evucFVeUjnrch3xBa+7eLlpeJz/bwajypB4c+KCkDtYXclQr
Q/rZXPO1rrI2vpF+xNRRXhQkj+dnKi+3j88fE6WY0hEY2tQeHA3Zkg6mLpqbV/ppPaZTrDlrspWe
n/z+0zvjDj4/5MlZcs9QjOGq+PhyHx3MUo/1lEuIWcIQX9Kru0KW6guXSzDGa+qPf2HAnx/wsyfB
HF1qInSpJqAfn4Y2GjUAG/J16eOvUdQu5NMi77T6O015F6y9k6fgYLCj2TWN1hakU5mdOm2DPFvZ
s7VAEm5zfk6nhjG4Y6gacSxhfNL54IwJc5rGVRFNP9Nyfi1IVdl98+v8MKduy8NhjrYHjfNWDTt2
XKlZ8Vog342vfn4E+ROONyAlmkjvEtBkLkf2l29LEXrdGFdARH6JKbhznWqHCC9aiuBOzo91cjYU
CFMBTAkx0ayPOw+0RxcnieBBjWZ0GIVde01W3Z8f5NT2pi6I2iAKhIl/HE2otPOsrQQ1vzLGgGsy
TOV1MN/rRbWppPEcXRjv5AJSTiSrmzGgPr01pH01M+atiRNxhVTGt5L3G8zON1TuLuztE3Ya9U6O
KgwZ1aLS6chUSvzRUej2mlbCVKm6m6ksaT3DCak5yWnbpAljzGmwX9fl5uLlePLjuaiDcCtTJXds
psV0IgKqSqbVOJAQjMdWQ5U7my/cFSdMYab41zDHRldlgNlyWhQ2bb+moSuXni6ukPyQ9XfLqlBm
UD11erao86wuDH7qU5oITDq8n7IM7GjrhHE2oQgQT6uKEinVV59q0MSlCz6iTnfnd6n8UcfHzkQn
RSCjQqHa8a7JACGhx0jtdkLcooK34IFWuZNvjFnNW7dIlufHOzm1g/GOpjY4xqCHcjyA7Ndd0d3V
lb92zOzLpEQX6HeXhpIH9OB9Cfy8pIusm6hndZDNDbWrLiz+0FXEBuiS/b+aln1ksPYBAjh92U+r
snFuE55Kt+i2WV3QUNk8nx/q1L1i0vxgOoje8FQfXV5xUPvCKusJQeNkkYb+gnp66aTzSjvQfDQ6
6s4PeHIdDwaUf36wjj69S40vGFAIp/szRDIACgnREI/jSyJ4J/ejSVml6Wq6a9pHkS6ausCmavKj
0ceUa8Mt7ZIdEjsmJvQYIvScXHB7Ti4ntyZlYA6VoXsT/mB2FMPRlG420yqn1wdVDYdeJby6hCZn
ZH2WetuvhDZdiOedXFJH1blCdUuzjv1cFzlx1Lmxy+F5fHGnBtm/sdrWTvUDmMSFz3fqvqRPhlEs
fKlPmRvVnlQlRqMUX4rAjgzuhCGRhfN75ORnI7pPRtAUSLwe7ZE85AmcCyZEMTyp2KT5A3faXQiq
jxamHiYEDDTjwiKenNjBmEdXCR2mMXYxY6rUsqO5lH8D8/CfXI8HYxzdIVoDEXG2Q3aH9u7k6hI/
DoX85WxxEEbt2/lFPGWDE1f/1yIeg3ebFiUNtHToo2nX5DTWDpJGRByksntlouFM6+HFkM+pD4eT
bQsSNZZjHt//Rq2Gph2xO8Le2qplubTb5m4fyKc+LQznC0HIU1O0qPBTabtw6ew6Ot5UdTmRWzEc
flRg/KEX/daCIkEsgYnOMp0g3Asvzkkf7nBMuY8OTngTpuSs6YFaweXxLEMsiORpwXMWg+BWb3Dj
pvy+pqT+/Mc8ubCUvWFfUtONAtnHUQMYD3Y5F1xk5fBkBc6WYjZCiQndnX2C+JLtthfW9qTJYukY
ZKT50Dk/vjt1c8hVA99xZWQGqWqcVHVT9YJdY8qkNrL7XhCmI8L1c/ug+7b7Kt+tRUmk5UELaUP9
T1bgr1/naN1HHW5dOGHFkDv2YB99bWZCZ6jZdxpQh1S94ECcug4oRyDMoVOMQcLv44J3vBFBmWKw
pWHz7kZWvUhnyhXPz+nUxY2PolsCH5K4itzfB3tJWLSuBko1rQK9RNGiVBeOrz92Q4AOonnhfrsw
1n5fH4xF9Tb8jp6xkCRemCkdsjAWMAZTJbzwpU69gQez2pv7ByMhAEYySWUkVfYM9eqKAt4fdGV5
CnEOQS5Fi6JLp/LkmFieuOEW/3ecSLThd2pmmDO7OPyjcuvvk0ghAyRUnQpzqQzxFRXjN/1or6Qf
k1nJqjKGH22Y30gLTnOjx5y0BX//eg7y7fmvfHIrHfxuR69ZILoe1xH3hqLhLwE3UppX388PIY//
sd0NS9XaByKQJzy6CAHsWhqtbTwsQvvp9M4NgrHXZi/ezg9zeiZ/DXN8C7XILUYZXzZ3x7upF3Aq
5+zh/Bgn9+nBVI5WazZIUBC3n1ZUBy67UL0ndLXqxgx5svRS8dHJ9+NgrKPzB7+IjjcbW5RusGHd
R2W3NcyGu26sm9swL6AtGJInVfT0P6SVdWHXnrzUpQwkcpO2TvD44/EHANP2YSKxC2aLlnKY32I1
XjUZEmtGnuMCa2F+4cY5sVF4L10aiQT5MFqHPg6p11OqNIV0mMhwDnq3jGrrqeYpOf8RTxxHim0M
DakQCyHN49tT0JpXpzkLa47ONa32V6pdvMYJJpxWXHXteAWf5FIU4VNBDEeMZBO5BqFq+PNHBhzE
iRxNI9kIGKfGj6infg0dGAkrSvzbljqRdFQyOBtCoBnXXLKLT8/4r9Hlnx9ceuHcam5tqdAX4geZ
96UXAQ7QhkzzFUUMc/33o9Ua+QaTXWPLNT7aOk0VdLo16NOKF/zW0fQtQe0LQ5zcKgdDHM2oV0qV
Lh+GMKvxOTLHxybsn/xI35zfKifuFGZCR5RrYd4Q4vy4cFoFalP1J85gm66qAEhiYcWXnqSTgxB1
pycW4b1PsVpbbUZ0+dkbyOw+yGiSUrjf/4N50CJm0M5AleFxECtC7Ep0hnz1Jn9Zud1Vbul354c4
cTXKKkkVX5bLYi+We7jH/FZPkAnhi6hhukjU7iaTBUFw8xTt8fxIJ7+963CaNGok2AQfPwr6f35X
Rwq7eVRum+zFzMWjY+7OD3LKlAbi/dcoR5t4muNRdWfwhcLob6f0GeO5zl74JxGPiq5uRsSqvzCo
NNyOnsoPgx5dE6gJlpFqMrXMKOmrC5doj+60dr6O1WArqzwUNNVs0Q8LNK+CxazZL+d/g1Nri6HC
6VXZjDhoH9fWFw59voXGFUwfuJvH69LyF0VlXHhcTm0WHVgbHaA2oxzblkpduAZKV/jQiJaMEqNS
ZTedAMLi54vzMzp1uqSVjJvAIeYS/jgjY4hcVFUNwlWjhv3fyv4o8fv8GKfuV52uK4qi8S7V4+7T
poaxVM/VvDJGOq3wdkIa2aWQS5CUoNa1TT9cuJgujah/nJWdxAoKVIxYpDSdUcYqlomvJPe53bQ3
XVm9IW0xL30fbNH5qZ76cgamHCLIMoFxnImcY7PxbSOYV9aU/RLJGG7NKQ9eaZCpVwqNOBe+3qXh
js56DfesCZN4xnQuRxRZp3HXdVa01uit2wZg1Vbnp3dq/yMXSS6Dqgyd3flxXU2A183UFTMbM1z3
trkBhbkl2XxhWvLHHJ/zv4ahA/rjMEWqOoiwlfMKrdL7YGxu1Da5rrFFPGo4V6aZuBdsnlOnAI0Y
At8YV9jIR8ZkPNhTg34rn82prsvJedFK58KWPPmppAg51dykE4yjpWsnc0KUTJ5p9Belyx/TedzS
siuwcs5/pZPLx9VMtYGJlXF8S9mjUKoQMb5VTyWzI+INGjDXY3wL0u9ybeDpeUmFHQoL1E+hBhgX
NWYphUn1gAJZHv1QauUODRFklPv/4FqkX/7fQx3dvm3XFVqAYPOqypJn1SURTuBGuMqqaqBlnl/D
S9M6+lw+kjEIkjOtOGq7Vcgp80xyhWgHz+HO6YYLO/7kwaKQFkECWeJ+bHQreaNBVWNqRpurt+hL
6zs3VnY4t5cqki+NdHQ1irTXo6jnyqB2N1wU6nSrOEq7nPXwklF/6rVmjXguBWr+mFYfT7EBA3OK
By7hLB4W2niHZ4h2yvccInIDHZb8WYUITOHUi4sm9qn7/2Do4/rKRK1pFQWeyc6IvVGZt5Z4lmWV
MamtPM3XVXnhdJ+okJVWAdFMzEjgBMdJ68Jvog6dk3k/rX1ykEQMZZRz+h4DZswpT+YdkHFNyuY0
oquJggbApRLpzyefLAJ0AiQlqKXgpHxc8oD3J0lU2FWJpWz6KSAbq95PIWGL7rXTLzgZnxf542Dy
zw/cppSiqlz3C31FpUacv87t6BkkfXO/3xbx9wR+2vkjKaUyjp4FBpSKHWScMViODwlCKPrYzLW+
8pN5MeoAagzJIFhjPpTlzvSH1YS4P3VpavpMkahZxCi3j/QTp1exG95qJWfYukn4HBd+sc/u68df
7OhMsRMzJbP4xUoKsrn+r8ZRQVb7S4wug5BJVGtcJyiXVvPv8yN/vqVsne9MEII3hZL4oyNm63VX
OS0psTCMjZWqtrCL0ZmYFIStzKzDmjs/3ud3kvF4VhAmMTnV++Lsg09Oab+ZxC5IFtPKabOmK58u
/FlcOEyfNxajUMVluXIkfKaPG6vvw8oKUog1YQQ3VaB1sTCraoXAAdJDffKAVuEILePSfj7h0zCu
I6jywOTAnT2yppxyVMRIn/gKPfBljX9mmi9jtU7DZNlMt0X+GinfRv/h/JJ+vo8/Dio/8cGS5kVU
aWgNMNkyfxqBhTT1eFuiVvGfDOO6MnCE+3lc8TSDs8UcjIHpGC1tN7bR3oCvHXazFgQXLv5Tm4Q+
G5pt6NUQPGgfZ6RbjVk5orBW2aw/xWl1w/nYnZ/NyU/lEEIhaAQN49NFlxKhSme9sVaVnm5QgdqN
1PabubpGv2nrzPobdM6VZdU75M/ez48tf/2PxinJU4NRXTwj41PWPUE6Gd0JzoCvoQLf4u2OiIwl
XlvcdmHJ87IzFPXC1/vcDUjNoWOa5Idl192nq68Y5hqtwc5aISy3QEHrqffvdXNexuO6tr4z9DgF
eMNo/z7LflNHhAvlUsbjRK3Px19CP/qwIBqUColXqvBRqEqrrVXfBpG1Yfi+uGuYf+ysk3E9K5e4
hp/fNUamFJtIGDftp2bIpIDYOVU+/EQ7fs9M6u5V5VpHJRdiwhVas5f8gZPf+GC8o5vARQWn40Oz
hcsGUXXhlSCR22GT5cP3fm43SJQgRpor6/Nb69R1fjhNeVcc3AXT5AgnxP9eWfUWyvVzNloLv5pu
0Ea/MNKpW+dwpKNbp0RWbWo6JhiL5GakyzQdkzfHvVQwcuoqoHJJxpMRPfnk9JSTDSuRNlXoeta7
0/ebTO1fz6/ZpSGOrBAU3OfKmJC2om/i22CZvyLfiZfnxzh53cjIoIVlxdsnNcMOP8w8DCA85Dtr
BLmnuT+64iHJbobhEaXd5YSXVXYD0MYLZUsnPhJ1y0RY8UkJzhzblFWhw2PWcgElj1YD9Be/jWnw
UhrNBefjxBJ+GOdoCVMtqrrYZxwous+U4kCmqC/stxM72yD4g9IpXRVEco2PC4g2WGXOYyZW8LZ7
L29oXqsrukk0ffhjsNBDOv/BTq4czTvYWrjbNJx+HC7xtWgoukKsHDF+QaHwOjKqO0efLxgql4Y5
uhANSvNowWbh/LJNF4Fd7EzEDhdxla3Oz+fU1SurLC3pWSDidvx88zD0FLk4kEH13rN6dy03Yjj8
skuiaCZt0VRagovxAmVe1uOF1/bUxzsc/GiaGvqRKpWW1kpHY3+pTtQsoKBPrx88GYhdqXFh35+4
7Skl5amzKH8Ct3Z02gpkNTGGLIiFlvplnNO1ShVYQ+N3MZt3HejS84v7+bLnirIwZ2XcDpTY0WYZ
FFDZWl30KzS7V7T2CMd/Ckqglzy1Q6hvKepURHXhSvm8pgzq8qbbpNpkSOPjDp2YYJnC7KDb/EdZ
iXu77nZq9Tjk9+cnt3eKPpor9Ohis9MWQW4Z7/TjQJkSRFqVuP3KmXtoM/OqVR4s60Ybahhs0ICI
1DiFsiD1NRPT80M38jRD3+Ka4qDLalfZKTkW+UMdBMvA7nZWdiuCekdfYBRq31z+2yrJZc1hL/JX
l26W0mpWeXHFvzH7FhRbsrYi5Q9QZ7JlwuEnxul87cbdyg4vTFY7saoWE8X9paQOT1h+6oMH1FCd
ULSonJPkDmI4ITS4QzzQIveK7pTmUZ07EGmhyM0SWTF9uK66oAFhkmJ1rPvRMLvNCB/udtCH5gty
X1Bx6IUK7xHRU4oL3vPnu8PFT7dI0NBC/TnNWrRtM/JuSqlk46UI39W6vrHKS/ULJ14u+rioG6av
Quaejqu66GQsq1Yl7OgUvb0M5tbdFBnAlr400PkXxa8+1LtdAqzpOhK0+LXZJdD4iW/CztPIZZAo
pKlELsTBN3HtISnnkJgxYr6LoXeQc+2vxvyFF+fCQf50b1isJIuq0TWA7Pdx6a3SR7mA1ydzbMqz
CYs9sbQHmv7vnaFfJvbweP5ofR7OQtaTceAksLrHfaJ+bSkFehEgeDVkymAhfM2T9OsU5stY768y
RTfW+wH/lgTrbfSzLprid3uMBf1AEoUtyv+O/4oc6N+00f9nyKHEPDE4/neB+K9dHr/9OFRflS/g
/j/6tzS8wWtBvRfNWbiDFjvwT2144f4TV5dvxPWug6U2uNr/Jb5q/lNFj9Uhj2Hg72ML/yW+av/T
Vvlh1MGT1ZYo0b8jvkq1Dhv84AamNIwxcIRxVpEw4aL5eABS0RsVnSHDumsHcROMACkWauKny6bI
c7FxRRgjAR4baAeG2eiqcLGqwL9CSTNzN808BxoxNatzd7FdFsjB0TKeL8O0t/zlYOZK+7Pup34X
T/Efk4vyYFzV6begGWfjtqzHfpE2VmoQctTLtwj44/Teq0bdrbo2n+l7qkNkRFEwXiNs4xvrIVXS
F0cjcph1HaKFAYycOM2sd7+PkocsF1G7QsnUdzwthvFqj77/pGh0CnuGHk6Lou2cYKW4k6HQyyXd
YQVp8omY2FxF67Rt+wSsnTq5Gzcwo2Dd1lmsfKWdyAAol2TuQ1RaUUZ8Tx8hUfY+pLAgHXzNs/Ow
RyM/akL1qyMAgBgz3j4yj4b+3mUq7areXCe57zljEAiSHa7UdU3SQCzGoJojz4RzdOfAqrozILVd
w1t1WsNLB2eMKCfLA3S8G7TVBe20pWdXfkoblREhMqmM/WPuxzj4fdAPCHM7gxcVN3Ni4aIpyWJI
izRYWFUae62IlprbLfpRfdGJCPte6oeGviyLwFlORaQPiAY5wVWt5xBzCniBjqtUC9+3zE3do+0a
qk3uoVMYX9W5k267xkW2Vp+r7VCmEfSJrr53kjpd1ijeb7tSIeBYKaQ/9CheG2UdrrR+QJzdRkew
qWPxRU190HOGepe4NZ+izU2EuHkvNqIgQKApAfESVZ2XhjnEd0UqkSlm88OcsJlHC/aIj+kzdwp9
LepaD5LeE8HgXvU8JH4+3pf6hBaPrWzyaGN0ub+OB/3R7FxgU/74PAwICdAaHRffArVJFnqsaTdV
m+XLkeyXp7WSsNGLYBmF7GgP1dv4uR5N9OiReS9kgkI4mXtdD+UmNN6DiqX0TFsbroeweooT/9lP
RbwG80TDZ2vfUo/VLTQUGovIgiUGX7dNrOhF1JDosspIlqJX3Fs7QHrbDu/0YfDhpAWYASClPCvQ
NK8anGDpqjUf08gnz/Tnn2M6/c5auGwQCVRnoQWmunFLO/nd2NSwY0e4hTfVpflVqzJt16L+wcJn
/fDggiF81KassynfTvUvwmwhO2ZlRE1TFN1FSAp8GQt72FWtry/7fnDeG92tViKsrT+CMI5/aFVT
XY8z9XNBJfQHfayN63QWzms1Gj44pSlaq2Uo1mM+1GDgjPB3phB8Thq13jgE5dfQDXJcnkygXQAo
KmjH4c53U2ubx1ZDuQbqsdBIH9RioIHJdOIFSLxoNU66WPRJ198TTidhojlZSS3UYHyvptB8naKx
ee65xjwoX4oXuKX1PNDAQePTWPzQ60BZmkEf3FZpPm47y1e3dtg0uyzj2Jed6SxtTPsX9rD7JtDb
R4UDO7u0TONX1PbK91zE4lEfHP1a9DMRFwgRMHIV4JNU7swpAsitedNk1F5QpJE8VE5Z/C5hLWzq
2kl/9fUMIbO33CdjQusz9gfjp4+K9TIJ3O4anFe50+vSuBOB7j80s81vozQVlndr3eto7V9Xeuly
XbjKmoJM60al6XWlR3WzRnE3pGe6UjZ60Cm+59Z1tdRg+71WlRZcRdAN3oKsSddZXFVfAwAfN5Fu
cetEbo26kjM3V2ho0OEdQC9dmJEm7gfFz1Zhqijv5hR1C2RL6Zvrfb16qwcdiWB3dr7zrigvtV4q
NyKpW0iSWrkZsGzhj6Ed1bQmolE0riObmtfkNZBkRjrYgLhhRgN7tguCmzC16pU5ueF10aTEKicn
uU+LIAi9mmv164QMyM9YN6P15NrhQ+ajGitiYl60iqiLdhzj5zI2/de0tbONj8TcrnDn8t6Cs7FS
UXP1ulmNr5BWEpsincevsRYkN1RfRLvZ5IrxWtMJN0gWlKs2bx7qwRqklrh2rSZTd+33CdClsBbG
rup9YzGndbQO4ddmxAaa4IsRuSb4wipI3mrFsK96c0o2tBZyakuQyY9ZZk1rFZ7a+zyFypU+5/pa
h5Hn1Z0DqKk3Zi9tpsJdpLbkYsE2u1PdSn9XpsJGvSMxAEFHQ34V+5Awg6wj1Tq4WcFFn4FIwi7o
Fl0gOGdO1r8mQ2Es8zgpFmSgg0UQxdBiK3u8cezGWoxoBescB0NroJP285tWGFNzC9pih3x3/S66
EgyJsBuafxW7BycSwExS+iDwBq0yduSNwvWkBsPOFAqY2ljzr+gFEjoYVcW8C5Nq4LppxbKzWvsm
7gf7vthjZXxJmAl8A6lbTP1sO0kCje+4CPBIBIAuYQBBCxYglICAQAMVYOypAXAW/KdEogTYQOFv
ywcv4O5JA7WEDgx7/oCKbrGXtr64L/d8Akwl99qX0AJhNP1zKxzop6Ckw6UPzvY670T4AAG42SpJ
Mv0YJxY8AiWHSDstk/AqISQMPbtoUUlwQiERCnoXwK6TWIVJAhb0PPCvI9TfV1ZlujSBxAb7PR4f
eLXD2xGidDeo28hszK9EaKtNsec3VKrqLwExcxFLvAOC28PSl8iHzuq1L4EFBqKx+ujO1SZ3gdo7
SZbM6khVMokqVszXWoIkbEBmS5RfuKokZqJVeyn9mw+ItCdiaUochZBgirnBZjAlrII4vbppJcCi
lCgL08jjn7j148ImRHOd5jbIiz39ws7jYh1KJEbF2VwAN74OzBetgZhR+UVGKRmgF0XyNHiFWs72
HrMh9siNphLO9WSWbbuaJZNDgQW/7SSnw90jO/I9vgP9vWxXJPFVl6W8n2b7VOpKoCPHazMrbJQB
xQIng9yX76nUtTHWiyoErsUm12ASOvGMFjwmTvyEbxUWXjSJ0PG60g53XW+F937bx1dtjiSyN2lt
sIixtL4W5UxRU2VEmbuOrdF8DJSR4yzR2sqesp1I4Dbo4nGpaBmVgrYGamHK2g277GsgHP023xO7
uwQ5pySxxl9pEeXbeQb+utAl5nuc/fSWuppsC1uvvO2Spi7v0tZ9tKy+f51GK6g8jXveixwFfnjE
D6alukEVBncfwngpYeOWxI77OZj6ZaUWjgQIxv4SSWc00X1BaIhl0Zn0mCWABQ0lNpRF4Af2opd0
c5zoedVJ4nk3Bc4rSGQw6HUvkej9UPqroXCCTTkgVQDiveqg50iSekwWD78wMXhHMfHGZ4lO4HcF
i/m9L7hZFlOFW+lVEtQOwcD6Xep5ft+4ofpHk839o6MNDfXz5PEbWGYQ221Jf6cbmRZP1epW7VDm
6QKRHs3xZjOya/adHT+hSzN8c+ivsihZScObes+br/bs+XLPoVf2THrebPj0VM8315Ek16uSYV9b
Odhh2Jug1CJrj7kXkok+CnGnA/PeuaPCKQRb2F5R+BjDYhRTgv5LGnwFYZ/cZEmawE2JVeU2TaLZ
WVL6X9zNuhs/ibi23ovYmZa10+cvTSzJfFlOb5tGfXK3pNSGx6w3q4xuy0JQva+LyP4TEGiVcfIN
gRZhvqfAo7wgNdz3kH2KVTAAOab9XIPaCe2c/omkDBZOBJzXU6LE0Fdk6+L3wiyLcZFnlXOlh6zL
Eql9e92b3bw2Fau7cqMCVPEQNdaTIL3zAE1PURfG4LOpQNMm3+iHgzLZx8mPuIwEL5cbEYxFK919
DyLbfRfhGLR3dZ2XHe9DZtJPVSjKTVfLg+Wg3j2CcnSq3+7cWfEqHyrhb3J4ygWK802C9FguqX9V
UgwPWTILvl41yGLatrjL4wjJ/2gERJVaDeJb0egrm9qsKXEoG6IPjZFp61ZTEsCatiaNnyZezi2y
0Js4GbGG/cLSv7R5hFOoWc2DMmukmp1RCWrEQyVtQxWtEqx8lPyZ02SaPK9G/y3M1Q6P0rKe4r7I
qwVrHRZIVRrJU536dbpydV6dJIHdHeV8FjU3YriQat0/gtJRwQ64tTT0JVYip7kQNnDQsH8GIkLL
1Ky5YdopQmm+JJmcekFQgKgo4t6+i4waf6TQSq6TPcQCODkwTkQPRmwX07itJOrCaMriV1qjGL82
9hgMq4gjzJIcMFUZNQmQqbSlBgjlJtgfEBkAaERzVHsiHFpjq9RhS3H0aCwCkeCFKBwVSCWKWxjX
ECahfuv4tiu9jNVsVQ6QCFau7/diDYytcL158O0JZYUCjJojMR/5qOkzuGsVoGrkiPpaqSj38elV
LpZ+rwc/fUkHGUy1XGMlsYeMPTkks6TBZlK4t9brRt36buSMVy5MRb4uhQgbVDAgIYw08AzAg6NZ
3QyJyO55knqxAbDUgXFTNRw0VJBrCLa1E932eT9uoJE4+Xcb6iiSd1bmFPCMW2AnY82sUPi/LfM5
gVGZYKW3CPt9NbQAdm2WKiNFHv1Y/67LsvoaFYMWX6McwPkkEa3xvYAepXT1jmI5U+M1LPICAIdn
QkB4KgbHfs39hru1Aq84bfxSt0hZ99bcLNx6IH8ABsNSV7zJRvlol5BV5tB9FGPTRcss5c1ZBIYC
lDR1e+fbaE3lsqwhAoAqmYE5JLqP4de40Kjboqw1wpoqrnBqDWBrhJ8bm8Huy3tY8ukORwlXKVdj
I/DMWQnLP4sd/lZM7nS07TDY9n8278XdW/be/H8QkvsfthFRrP89Jrd+//Vev6Xp9I//+pVFOXyk
9/r91z+e6ujHW/qP/6oJzB0G7P76kf8TsdP+SeqGYDT/IKGKhvRBxA7JElqQieShO0fF+GHEjtud
kKtKEQB/RwaS/0Vz1CAp8fMcYRD6JZhu/Z2InUWA7zBiR8aJSngDj0t3UTd1PmXb2q6tm6HQxVoF
ObGxSoCOzf62U/w4fQqRG6Hlywnpa+voqn1LVHe8J9qgXTtxaT2MVjLhX2mqtibCr9bb2ST04qUS
Hkp+BolQyghgihZ7vqgxStYopjHc0WbPIEXU7nHcc0n7PaO02vNKoz27VEiM6bQnmto87hnJjWRc
Upehj9dDi6OC2KUbdkgkI8sH/I+HplRCd+bYl3a2jey4npeBW8Q//RDx30qrovQaGZV86Ve8DToZ
vScqr7WrZo9yzaDCFT9rzehe5zzj9GoAD58y1eKBJWKJeUNpf6mtdZuYpGfWZpftRO8Ud/id/oJr
pV/rWmbXVz4EISgTkdYkK1zyKFjRTx+F15Nk3hoJ3BGvNERGRsad+weYkMMuK5ps2jgKV/yu7sYy
XLRapLZeZPTmG5ZVViH8amA80F+uRbzxVAJvCGs0xcbOrd7ZIApTWQ/IIPAKYDQOP/PRaDaRVfHm
BVkJ9SLssllZTmXY3jqN22yIUyEzTRRgnl/FXKovzWibQPHIzXx3qzo3bqFW8Pr28reu2yYoVirT
vUIYoP2p6gMWiDUOzrCcDL999tushejMO4OscaVOd/WeA11PmX2btCZ0aAIww/sgkdFmA5bKSxFa
pDsoG9HQd8XrGOnAnEL/zeqT7J2mofjWt4dmOc8WlYxaN4BREX2JhWub0ypWYp1t52OJedgE73gH
CvnL6CEiOrAOW53whORgl5KITXak2IGOr27TLKKHprbpZ8nUl8iY0BnvFbEYIvGblxKsdhbqyzj2
42XQwdvuVPtFFAHfXLPLe4Po+g2h5B/0PsVfWknoNiSru5PU7qaoKs+XJO/cNotNBX5rSwNBtIot
G7gd5JS7FgF5itLBkcK955tuzYaOdUIkZhWsHbv2f8XxVP8get3cEiIybrrcjHmga5aaKj7eUpJb
b1MhcGx4+SBMx8m2p+luS9gIjjNosk06xtlVtWecz1NzM0v2Oef0G1oRzrdaISbhChwShRjMF4M8
8C3l5fZdiOzKGy3tvKG1TsK7sqINMgaE0tqhDcC8qqDYXcNCkkGVgPZCotrDJki+Fc4wLzq1ETeJ
xLo3e8J7tqe9VxL8ru4Z8F0sefDwFkc0zduHyEycl7av3ZcJ0+hBVOOUr41ucsdlGokk3yodLdke
ABXM4qzO0xsdnGW/0AONF3gqjJbSyJb2+iIGu5lgxhmeJgrjdznkyXNoqsSyY+STQ0BRtvpIGS3a
t2QmNmZba3CPTV+9skfndbJ65Q9uGeVpNMmjRlWtvNpR8IYag7UoOiff2CTuv8TjpLZLRGnm73pr
x9euSmVUg970l0mdxtdcTeIbs1d6UMq2+gO0zZR5Wdj34zLCX6YhtzOe1Jm2Ac+e8XfTsJxLD8/A
DxfuWDiAvBQN73vSlS1xGUhZulNjAGUU92aNZXgh0gehx90yX+Vox5A6d+vnweUyq6zatxb6UKe1
53aTIAEQK7ZFI+mohl6MfPQ1fZemWCS+7e/CLKoybo052sZKNMqfqL1SbQMeLzTLKfGGUSOkLPWz
miLZRSrlbuzNZTbF6yilHC9QX7CItaWfhso3sy2/UJf6NXNRjW1RWoij/oedzBswadRmiKaxF3ll
qK8gZYutVXbTi9YVxW89NrM7x8qo/JcpYJp5wi8EYjMvdMTWtoBup7pDbiNzQwoac4f4r8ienVG3
HS+ijmb73+xdx24jSRb8lUHfSyhvgO0BtlgUKVKUoUy3dCnIpqksl1mZZW7zb/NhG5TplaYNeqcv
C+zy0miRLMc078WLF8FrZzhO8hJ23tg7S5iKSwajNociYkJlhQdZ03gOXNPFsCVlJY/bIhhNWtYT
OahlAiN5mAcMaRk78lzwLt/GpXLhsGCsUxNXrEglsKnHIBjKw7CL7cPa147eh62rvVYkd+AQNrZz
kSuIAVmWXEEwIMHvPbHhE9Q2unkAO3YoJdJ+JRLwoQH+Y8mZCrqxSIGigGErB2avfHToFrJhQI26
RKAdvseQTATa+uJKV3Ae7KTrZLFpxNxoQDACEHKGFgMJjw0HYhoJ9ewFStAtVnTOt03jk7VDatfG
5t1BN1iKur4EVwhep0PQ7Ph8LsSXTcQDOm94Xp5NQuWXUjcC0I3jr0NVhE5qlOsujTuI/UR35QAU
nwOANDDWU/uTscRnLnNGM9OR2p/tgEhYZzEouylp7gj2yCndAQCnjVOi0RfbWIYkTs7hjQsfi6DL
2bJ+6hdHRXJYTUXLT8axyyH+bCTAVhiQX5SlVkjGdHEgOlCo9lkPhcRZ0BGByWQb56hPIHiedN3Y
LR2isB6FQpZRamKMVR6X45njRPmcdAnLPG650HEQql+jng0YTzrFKbHqGphb7h80ZT/uG1rBM1aM
lKe2j+xpDkWIM7tuowWXFMrZNnbDGYFrWzq1OZIlp6SX2JPVGZZOYc2i2tEaVsOqUxhPE9as3IKf
KgTvDbmLObNPRpIUF0hCUWizdWtnU9SW+cxTXGyN2xVnXhN5fZqbXFwGkdA3OXHJwoe84cYb+7Ca
KVB4YDzVySxSdGyW1LdKvmRgIOyX0k8exryEYBSk8dSiKKviDDSlnGZ1519YTIJPDrjbngEls2HI
6iOH7AdUNeZlX0VHAkZ71RzyrfxKJp4+z4WBvLwTYcy6QQXRkgLeF5mG5cc5oUiCYZ4dh3cNGe5d
t7GXSOziK/jB8gq13l3K5e1cEm2YW6+HHrJMqavDdfLkolhE5QArSJKbC0VKZMR0lz7/z/MFEDRD
nMgGI+z7ycmCCcJAYr8RaJ/7yrj19fsvmUi0By73zpYixm8DnT+kPS++8u4e+AI2lMzAuXs2nH+l
DkTINqBHaoNtstNieEMd8Pw9sJMT6GMCaUPr/n+Uh+zSlrd5iIWOogiusqC4v2cMEPgkT24hkgUF
JAa4BXh/MreLuILWdFOGjyQKkUMHbV9dO4WqToJWSm8WJf2E2aFybDz2VLf3iIIj7zTsozZOS0eO
K05ar8l0l9fhxsoBNMFAHD1YGTwYE8wj0roHZTW2Gxozdl4gzSDznnjQz4G9vP3Zrf1ySYBMwfEc
vsiQXkEJTC8pUgiEcBNXLC1s+B/ronGuW1mTde73DnChkpBZJIy0wSWrTLAOGcrul4UTArZohZVr
vIsIGoJ1MtFq5hE88ixnsa+uaGWah8n3x9OuJo8VgP425blfH1QddJWA+2J9xZYJWETYfY16QWCC
1PAonMPn09wlk0Bm4XAdJbNunDpAkmLc+srWW8b9OARCpxlJZVRHBsjaOKCQjQJwR9Fy4jTCPoho
Hq+5axUnkg3uJmjhdSErC7roSVhNqM6DxYA9RIWwJw38Wm76vELyp/0uMKnVwdf7cLKNAJaXN2Gd
YU8vRarKwm1XCEv1fqFRq55RbpWfK6m6NXxfuxWjXnlAsOkdWKRSwPBHT3y2UJg45D1oH1mLZeTK
ybGVpp7oObB7F/srSnu+lUruNoeOA2fetAtYhFzTNIh+5IhuwsmHD3E6JSr6RONaXfi5aacFERP9
RFGxrRAvoXsYFTenAp/DN3QAzOP2iKtCZ+MSC46pGk6mYx9gENmjubQnhx9QD1J9M5sjUs01jVa0
BT0FNLJoibobOSJ+iAgfXQ08TUafgAyhHLkfF0m08cqojyHZ6Q9R5g0kxhobBjKT0AFyUjUhEJl5
UM1215SPdp+ZFts8cr7OgilkM5ph6Yre8w8kGKnecdM26EaA9RVLUSMdiywibgJNyUjcDpTQR4qu
+qxRNjtHTUzBe1t4Eq3hogBC2uZQrRCkjmChgd68GVzn2RL8Ek0yULyGlW9aIJfeCFM03ZtwmgVm
ZzEsakCzNshecDslimQG5mknfdN6U2aNVrEwJbUhT5DrzERa+LOhdNAI1noeP/SkYyFKrYFB2o1H
F2Y4Ro6L+jUF+QvFSWWmw5GDl6+hKBOkduvbKLOEJb+NwLac28JbY9vqoT0nNL5V4wpPG7iRfAIZ
wgb+FxyWaGKYGxfGysraFTLzJO0SmlzYTlfcDpLilxm7APtyYRtArr3NMhHGmH2+qWalKoL6U1mM
QGOb0r7tFLgHKPuIK4E4HMECB5oG7V9etBhRtErEinq79Nfhsi0ypvIA5Jxpqg5xm9Zimg6N8Lau
A8w0FhaSTliHAv8I6wXCNe+oLGNrRaYdPM9cPgc4D9pKpbptlWvz6BcCBBPSeSvNaX0w6UQsDa4v
8y3+6HZKXUBXwFsGvS27tAM89NCyBLQPoLLJiXYcb78QvR5mqPg3KwdZ+TxEyR0gqwPJX48xKbOe
8eFw8trusCK1nSVgHm1QOYeLMe+rFvH3QMAFhSONpcHycVAvpsZyFoqPCcIg1hYHE1P1FnG8WA0Y
lIdxDDvRKWH+WlONZII1Wn1OMCKBwlbxXTjmu1C98ttjvxTxtiptBPFdV8HEpsnz1B0s9z7B0EIZ
06lOW54UWCkn5s9L6FMv7aBrLuzKZoteY6DUSUs/lxQhRdq7xaRStrO8dSIeHVVFEt45yLnsOfrn
6xm8gJvrDp7Zs6lru/PWVepuIE5zguLysKkkH+NZX3BypAIVzb06gsdwYDMF/a8GKeYEgtt1CX1h
UL20GC5CJOoyDbBRPMC8lB6DQIBFCvhtORMl5mvaN51TA6XV+grle1hdmzY+s3zP2Glr5+Qqsnfe
yISZ4doKqXVdaB8hGgd0e9kkPFzQuImOQdTzVsnQF4+4XnmyE8u6RREFKT/MxoHEDEyKXUged+cJ
Ni3sEKqH3a9HWOymYTCOpzGBXVo0Bv3lhMbZ/agFpSQBYxAubqro0YevANOkuewqOXNbYAb4qfpD
tMZ1WEdYLk8ZkJY2rQGPgeY1iT7ZecdC9AYcN2RaEYfqygKoocxRyu9skiHtCcW+cKhzpJCIfHIj
1EBTFyT2cZ+Z0iAXkzHxUuhCxGtG0MY0q/1BdZnpE0lhamzD40O7KHjBA6yXV33HJMfKSO16xiaR
bxi88uos6EJ6gBGSQHkHlYUbQiPsin0QO9vCRHj+EOLye6BdXC/doRSXvk/bbdMKhZQOajtbPsLg
1ziGwLfcjtYofsXHgPDtB5DGkaBgFEDLRQJYx1LpatGnRSyDs1FoRudspBEsy6BAVc0JmxqQ36wo
9k+QyJp8vzcAYSLhohBToGIZp8JUMehZRnRm4zLV5Cl+BUQGQ1JHi9Dp4q0QbtNmU9LHE4zIhf/I
SysJUDyywDMPdm5CsWXfx7HQeomOOOWlBdr7kGwMHJsX6q5DM0PVDnCCQms79QV5dEnNtt3U8NmY
NA7bb5maynTAGnpT9jxwlw32ivZwAAg8PhO8/18ZQPvH94PvAyX+/KP884/bP/+4/0YJAN99Cby9
vR3xHSUAxN4v/NsvgfcuIEdfsxcFL3Te18jb20PAjXcQFEewsthpG6lad/TjB8/b8yNUokH8RtOI
nYBT/Ps/UIIhD/XJMxkXhOd3/3/rkpe8j7xxbFxUgIZqyGHbboCCwPsI3Omx+UZFrBcCodnCJhNd
Dn5kNgr0qg2rnWtoy7lb7eYdPKhDubSsqMj8OBjWDZjF1UyjujBjnlNt7UhkO+WzY6yPa0syueKT
MfsO1d6qYbLcTIiIjpKIOfO27th2dFS78QsVpoDz2vOwCeIM8GmOUJM4R5CW8658wxa2K64iF10/
4BBUMw8VBVQAh0+yUdc8FBspa7kC466ajYC6kSpMnxDpe4gXwF+IdYCmh94zaBlqchQXXXWsG2QN
JnTAPy3GDdbPK0jqrXf/Ut8rl2hiEbM8seg8nLD386K78Kz6gHMBV6AkUreRiLH1eRziM4NrDQfd
VAEqkFPA911Xw1kEnT7WDSUuXbQRg+5ZhFWRwBJilhgdHPGc0kOQA5sTKDclK9m5uz6nyXUfcyar
W1D7oKnHgim+4UBfjwIkHRfKczg2eXlrtAWVn0G66BYHn9dGBwuCv2uqK5rm8FffxknJs2H0vGeX
pP9oin+XkP8LbPuXC8huupt51bFuPNUPctw+KI1i9esw3r17Ai5Mdw7Lq7/zoR8f6LeHp4Oej83D
xw93ta6gj7EFkaGu3k3rnRr+u9Xg6ZKervdHRxA3uGJ9j0O74OgnaKWGFt6H30RdIXV/+nsY70EP
1EO/G6pzOMObZ/K9u/7xDT0/vh9/5t0l3+xKm4hVO8nuunc3bYPKDxmKn7vzvxzmzZ3H6E7AOhZE
6Cl9er1/AMHezlXXgxj587tAAf67ngP6MAJ0TvzqYwj3bKR/vh0F9tMLEMxfxwHkLRL0cT69/hsf
Q/Ik6Pcz8+C7owHQEQAHNHuhgenphZr4m8cQubun5MOZwXl+SpgtPzsafmLqfFlV0EMh7p/WE/ag
vrXsfO8DrxPr6/dfJtXB/ccPIHJ+2ZafPrhbXp7P/e/l5vd3z+hp4r9583UhePv1lxv8+tTfvKjX
Py4ZOAzybifZvls+Xy5zR9P4+OGMVff07Zz/Mtb/fSkfP7y70DfT4EdHPvlBO9ObFffvHHpNx9sH
+dvJDSwmdFWg/+Yvd/A8TH/1Dv453dz/tr5RqI3J9yfwEeGg5fJXT/CTAO4vPi3gw/oOHUNfIcSv
i/uv3sbfJ8n84p39RAz+wzN8azp92YC/nmSvG+u3vvZ+Bdl94k483Mjf/wUAAP//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legend>
  </cx:chart>
  <cx:spPr>
    <a:solidFill>
      <a:schemeClr val="accent6">
        <a:lumMod val="40000"/>
        <a:lumOff val="60000"/>
      </a:schemeClr>
    </a:solidFill>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209550</xdr:colOff>
      <xdr:row>3</xdr:row>
      <xdr:rowOff>41275</xdr:rowOff>
    </xdr:from>
    <xdr:to>
      <xdr:col>11</xdr:col>
      <xdr:colOff>514350</xdr:colOff>
      <xdr:row>18</xdr:row>
      <xdr:rowOff>22225</xdr:rowOff>
    </xdr:to>
    <xdr:graphicFrame macro="">
      <xdr:nvGraphicFramePr>
        <xdr:cNvPr id="2" name="Chart 1">
          <a:extLst>
            <a:ext uri="{FF2B5EF4-FFF2-40B4-BE49-F238E27FC236}">
              <a16:creationId xmlns:a16="http://schemas.microsoft.com/office/drawing/2014/main" id="{D9052822-0598-0122-E6AB-2E15D6DE4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508000</xdr:colOff>
      <xdr:row>0</xdr:row>
      <xdr:rowOff>171450</xdr:rowOff>
    </xdr:from>
    <xdr:to>
      <xdr:col>11</xdr:col>
      <xdr:colOff>203200</xdr:colOff>
      <xdr:row>19</xdr:row>
      <xdr:rowOff>139700</xdr:rowOff>
    </xdr:to>
    <xdr:graphicFrame macro="">
      <xdr:nvGraphicFramePr>
        <xdr:cNvPr id="2" name="Chart 1">
          <a:extLst>
            <a:ext uri="{FF2B5EF4-FFF2-40B4-BE49-F238E27FC236}">
              <a16:creationId xmlns:a16="http://schemas.microsoft.com/office/drawing/2014/main" id="{E4634A70-BB01-9AEB-9906-CCCC1E452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43961</xdr:colOff>
      <xdr:row>0</xdr:row>
      <xdr:rowOff>184150</xdr:rowOff>
    </xdr:from>
    <xdr:to>
      <xdr:col>7</xdr:col>
      <xdr:colOff>48846</xdr:colOff>
      <xdr:row>15</xdr:row>
      <xdr:rowOff>143119</xdr:rowOff>
    </xdr:to>
    <xdr:graphicFrame macro="">
      <xdr:nvGraphicFramePr>
        <xdr:cNvPr id="2" name="Chart 1">
          <a:extLst>
            <a:ext uri="{FF2B5EF4-FFF2-40B4-BE49-F238E27FC236}">
              <a16:creationId xmlns:a16="http://schemas.microsoft.com/office/drawing/2014/main" id="{43A4E983-7466-45B8-88E7-5E5AD997E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565150</xdr:colOff>
      <xdr:row>2</xdr:row>
      <xdr:rowOff>12700</xdr:rowOff>
    </xdr:from>
    <xdr:to>
      <xdr:col>11</xdr:col>
      <xdr:colOff>260350</xdr:colOff>
      <xdr:row>16</xdr:row>
      <xdr:rowOff>177800</xdr:rowOff>
    </xdr:to>
    <xdr:graphicFrame macro="">
      <xdr:nvGraphicFramePr>
        <xdr:cNvPr id="2" name="Chart 1">
          <a:extLst>
            <a:ext uri="{FF2B5EF4-FFF2-40B4-BE49-F238E27FC236}">
              <a16:creationId xmlns:a16="http://schemas.microsoft.com/office/drawing/2014/main" id="{5AA0C9A0-1D33-29A8-5795-3CED05F0E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742950</xdr:colOff>
      <xdr:row>2</xdr:row>
      <xdr:rowOff>69850</xdr:rowOff>
    </xdr:from>
    <xdr:to>
      <xdr:col>8</xdr:col>
      <xdr:colOff>546100</xdr:colOff>
      <xdr:row>17</xdr:row>
      <xdr:rowOff>50800</xdr:rowOff>
    </xdr:to>
    <xdr:graphicFrame macro="">
      <xdr:nvGraphicFramePr>
        <xdr:cNvPr id="3" name="Chart 2">
          <a:extLst>
            <a:ext uri="{FF2B5EF4-FFF2-40B4-BE49-F238E27FC236}">
              <a16:creationId xmlns:a16="http://schemas.microsoft.com/office/drawing/2014/main" id="{6A776672-A30E-98D4-DA10-A02F7267F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327025</xdr:colOff>
      <xdr:row>2</xdr:row>
      <xdr:rowOff>142875</xdr:rowOff>
    </xdr:from>
    <xdr:to>
      <xdr:col>13</xdr:col>
      <xdr:colOff>593725</xdr:colOff>
      <xdr:row>46</xdr:row>
      <xdr:rowOff>171450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F669CB1B-FB68-599E-A9B9-AA097B6794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886825" y="574675"/>
              <a:ext cx="4572000" cy="95281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165100</xdr:colOff>
      <xdr:row>6</xdr:row>
      <xdr:rowOff>0</xdr:rowOff>
    </xdr:from>
    <xdr:to>
      <xdr:col>7</xdr:col>
      <xdr:colOff>196978</xdr:colOff>
      <xdr:row>9</xdr:row>
      <xdr:rowOff>139700</xdr:rowOff>
    </xdr:to>
    <mc:AlternateContent xmlns:mc="http://schemas.openxmlformats.org/markup-compatibility/2006">
      <mc:Choice xmlns:sle15="http://schemas.microsoft.com/office/drawing/2012/slicer" Requires="sle15">
        <xdr:graphicFrame macro="">
          <xdr:nvGraphicFramePr>
            <xdr:cNvPr id="16" name="Province">
              <a:extLst>
                <a:ext uri="{FF2B5EF4-FFF2-40B4-BE49-F238E27FC236}">
                  <a16:creationId xmlns:a16="http://schemas.microsoft.com/office/drawing/2014/main" id="{FD8960F1-F382-5FC1-9C25-EA33DA922760}"/>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dr:sp macro="" textlink="">
          <xdr:nvSpPr>
            <xdr:cNvPr id="0" name=""/>
            <xdr:cNvSpPr>
              <a:spLocks noTextEdit="1"/>
            </xdr:cNvSpPr>
          </xdr:nvSpPr>
          <xdr:spPr>
            <a:xfrm>
              <a:off x="3454400" y="1295400"/>
              <a:ext cx="2768728" cy="7874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50800</xdr:colOff>
      <xdr:row>0</xdr:row>
      <xdr:rowOff>50801</xdr:rowOff>
    </xdr:from>
    <xdr:to>
      <xdr:col>4</xdr:col>
      <xdr:colOff>607978</xdr:colOff>
      <xdr:row>3</xdr:row>
      <xdr:rowOff>20266</xdr:rowOff>
    </xdr:to>
    <xdr:sp macro="" textlink="">
      <xdr:nvSpPr>
        <xdr:cNvPr id="2" name="TextBox 1">
          <a:extLst>
            <a:ext uri="{FF2B5EF4-FFF2-40B4-BE49-F238E27FC236}">
              <a16:creationId xmlns:a16="http://schemas.microsoft.com/office/drawing/2014/main" id="{D389CC1A-8A63-45FF-B346-FCEFD946BA10}"/>
            </a:ext>
          </a:extLst>
        </xdr:cNvPr>
        <xdr:cNvSpPr txBox="1"/>
      </xdr:nvSpPr>
      <xdr:spPr>
        <a:xfrm>
          <a:off x="50800" y="50801"/>
          <a:ext cx="2989093" cy="516646"/>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CALL</a:t>
          </a:r>
          <a:r>
            <a:rPr lang="en-US" sz="1800" b="1" baseline="0"/>
            <a:t> CENTER CLIENT DATA</a:t>
          </a:r>
          <a:endParaRPr lang="en-US" sz="1800" b="1"/>
        </a:p>
      </xdr:txBody>
    </xdr:sp>
    <xdr:clientData/>
  </xdr:twoCellAnchor>
  <xdr:twoCellAnchor>
    <xdr:from>
      <xdr:col>10</xdr:col>
      <xdr:colOff>241300</xdr:colOff>
      <xdr:row>13</xdr:row>
      <xdr:rowOff>81281</xdr:rowOff>
    </xdr:from>
    <xdr:to>
      <xdr:col>10</xdr:col>
      <xdr:colOff>287019</xdr:colOff>
      <xdr:row>13</xdr:row>
      <xdr:rowOff>127000</xdr:rowOff>
    </xdr:to>
    <xdr:sp macro="" textlink="">
      <xdr:nvSpPr>
        <xdr:cNvPr id="3" name="TextBox 2">
          <a:extLst>
            <a:ext uri="{FF2B5EF4-FFF2-40B4-BE49-F238E27FC236}">
              <a16:creationId xmlns:a16="http://schemas.microsoft.com/office/drawing/2014/main" id="{2D30E6B9-30DE-B021-BE5D-4D26540756C3}"/>
            </a:ext>
          </a:extLst>
        </xdr:cNvPr>
        <xdr:cNvSpPr txBox="1"/>
      </xdr:nvSpPr>
      <xdr:spPr>
        <a:xfrm>
          <a:off x="6337300" y="2475231"/>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50800</xdr:colOff>
      <xdr:row>3</xdr:row>
      <xdr:rowOff>74308</xdr:rowOff>
    </xdr:from>
    <xdr:to>
      <xdr:col>6</xdr:col>
      <xdr:colOff>304800</xdr:colOff>
      <xdr:row>16</xdr:row>
      <xdr:rowOff>6751</xdr:rowOff>
    </xdr:to>
    <xdr:graphicFrame macro="">
      <xdr:nvGraphicFramePr>
        <xdr:cNvPr id="4" name="Chart 3">
          <a:extLst>
            <a:ext uri="{FF2B5EF4-FFF2-40B4-BE49-F238E27FC236}">
              <a16:creationId xmlns:a16="http://schemas.microsoft.com/office/drawing/2014/main" id="{F72A3120-4CB1-4BFF-8DEC-40092E36E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63500</xdr:colOff>
      <xdr:row>16</xdr:row>
      <xdr:rowOff>33775</xdr:rowOff>
    </xdr:from>
    <xdr:to>
      <xdr:col>6</xdr:col>
      <xdr:colOff>311150</xdr:colOff>
      <xdr:row>29</xdr:row>
      <xdr:rowOff>67553</xdr:rowOff>
    </xdr:to>
    <xdr:graphicFrame macro="">
      <xdr:nvGraphicFramePr>
        <xdr:cNvPr id="5" name="Chart 4">
          <a:extLst>
            <a:ext uri="{FF2B5EF4-FFF2-40B4-BE49-F238E27FC236}">
              <a16:creationId xmlns:a16="http://schemas.microsoft.com/office/drawing/2014/main" id="{37046187-8503-476C-A003-F14F7F727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339395</xdr:colOff>
      <xdr:row>3</xdr:row>
      <xdr:rowOff>74308</xdr:rowOff>
    </xdr:from>
    <xdr:to>
      <xdr:col>13</xdr:col>
      <xdr:colOff>56362</xdr:colOff>
      <xdr:row>29</xdr:row>
      <xdr:rowOff>67553</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B023561E-D7B9-4B09-862F-D13FF8494B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987267" y="621489"/>
              <a:ext cx="3972818" cy="47354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115454</xdr:colOff>
      <xdr:row>3</xdr:row>
      <xdr:rowOff>67554</xdr:rowOff>
    </xdr:from>
    <xdr:to>
      <xdr:col>20</xdr:col>
      <xdr:colOff>270213</xdr:colOff>
      <xdr:row>16</xdr:row>
      <xdr:rowOff>94571</xdr:rowOff>
    </xdr:to>
    <xdr:graphicFrame macro="">
      <xdr:nvGraphicFramePr>
        <xdr:cNvPr id="8" name="Chart 7">
          <a:extLst>
            <a:ext uri="{FF2B5EF4-FFF2-40B4-BE49-F238E27FC236}">
              <a16:creationId xmlns:a16="http://schemas.microsoft.com/office/drawing/2014/main" id="{3ED86167-25CD-455D-A29A-74A22D75C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128350</xdr:colOff>
      <xdr:row>16</xdr:row>
      <xdr:rowOff>128351</xdr:rowOff>
    </xdr:from>
    <xdr:to>
      <xdr:col>20</xdr:col>
      <xdr:colOff>263458</xdr:colOff>
      <xdr:row>29</xdr:row>
      <xdr:rowOff>67554</xdr:rowOff>
    </xdr:to>
    <xdr:graphicFrame macro="">
      <xdr:nvGraphicFramePr>
        <xdr:cNvPr id="9" name="Chart 8">
          <a:extLst>
            <a:ext uri="{FF2B5EF4-FFF2-40B4-BE49-F238E27FC236}">
              <a16:creationId xmlns:a16="http://schemas.microsoft.com/office/drawing/2014/main" id="{0650BBAE-94F2-467B-8C63-F93DEB73B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15</xdr:col>
      <xdr:colOff>135105</xdr:colOff>
      <xdr:row>0</xdr:row>
      <xdr:rowOff>20268</xdr:rowOff>
    </xdr:from>
    <xdr:to>
      <xdr:col>20</xdr:col>
      <xdr:colOff>276965</xdr:colOff>
      <xdr:row>3</xdr:row>
      <xdr:rowOff>47290</xdr:rowOff>
    </xdr:to>
    <mc:AlternateContent xmlns:mc="http://schemas.openxmlformats.org/markup-compatibility/2006">
      <mc:Choice xmlns:sle15="http://schemas.microsoft.com/office/drawing/2012/slicer" Requires="sle15">
        <xdr:graphicFrame macro="">
          <xdr:nvGraphicFramePr>
            <xdr:cNvPr id="10" name="Province 1">
              <a:extLst>
                <a:ext uri="{FF2B5EF4-FFF2-40B4-BE49-F238E27FC236}">
                  <a16:creationId xmlns:a16="http://schemas.microsoft.com/office/drawing/2014/main" id="{F093467B-AFFF-49D6-A222-C66D53E781F3}"/>
                </a:ext>
              </a:extLst>
            </xdr:cNvPr>
            <xdr:cNvGraphicFramePr/>
          </xdr:nvGraphicFramePr>
          <xdr:xfrm>
            <a:off x="0" y="0"/>
            <a:ext cx="0" cy="0"/>
          </xdr:xfrm>
          <a:graphic>
            <a:graphicData uri="http://schemas.microsoft.com/office/drawing/2010/slicer">
              <sle:slicer xmlns:sle="http://schemas.microsoft.com/office/drawing/2010/slicer" name="Province 1"/>
            </a:graphicData>
          </a:graphic>
        </xdr:graphicFrame>
      </mc:Choice>
      <mc:Fallback>
        <xdr:sp macro="" textlink="">
          <xdr:nvSpPr>
            <xdr:cNvPr id="0" name=""/>
            <xdr:cNvSpPr>
              <a:spLocks noTextEdit="1"/>
            </xdr:cNvSpPr>
          </xdr:nvSpPr>
          <xdr:spPr>
            <a:xfrm>
              <a:off x="9254786" y="20268"/>
              <a:ext cx="3188509" cy="57420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10</xdr:col>
      <xdr:colOff>148625</xdr:colOff>
      <xdr:row>0</xdr:row>
      <xdr:rowOff>33777</xdr:rowOff>
    </xdr:from>
    <xdr:to>
      <xdr:col>15</xdr:col>
      <xdr:colOff>94582</xdr:colOff>
      <xdr:row>3</xdr:row>
      <xdr:rowOff>33778</xdr:rowOff>
    </xdr:to>
    <mc:AlternateContent xmlns:mc="http://schemas.openxmlformats.org/markup-compatibility/2006">
      <mc:Choice xmlns:a14="http://schemas.microsoft.com/office/drawing/2010/main" Requires="a14">
        <xdr:graphicFrame macro="">
          <xdr:nvGraphicFramePr>
            <xdr:cNvPr id="13" name="Sale Month">
              <a:extLst>
                <a:ext uri="{FF2B5EF4-FFF2-40B4-BE49-F238E27FC236}">
                  <a16:creationId xmlns:a16="http://schemas.microsoft.com/office/drawing/2014/main" id="{E5B56F1E-CEDF-87C1-F524-A113FE54EBB2}"/>
                </a:ext>
              </a:extLst>
            </xdr:cNvPr>
            <xdr:cNvGraphicFramePr/>
          </xdr:nvGraphicFramePr>
          <xdr:xfrm>
            <a:off x="0" y="0"/>
            <a:ext cx="0" cy="0"/>
          </xdr:xfrm>
          <a:graphic>
            <a:graphicData uri="http://schemas.microsoft.com/office/drawing/2010/slicer">
              <sle:slicer xmlns:sle="http://schemas.microsoft.com/office/drawing/2010/slicer" name="Sale Month"/>
            </a:graphicData>
          </a:graphic>
        </xdr:graphicFrame>
      </mc:Choice>
      <mc:Fallback>
        <xdr:sp macro="" textlink="">
          <xdr:nvSpPr>
            <xdr:cNvPr id="0" name=""/>
            <xdr:cNvSpPr>
              <a:spLocks noTextEdit="1"/>
            </xdr:cNvSpPr>
          </xdr:nvSpPr>
          <xdr:spPr>
            <a:xfrm>
              <a:off x="6228412" y="33777"/>
              <a:ext cx="2985851" cy="547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61742</xdr:colOff>
      <xdr:row>0</xdr:row>
      <xdr:rowOff>33778</xdr:rowOff>
    </xdr:from>
    <xdr:to>
      <xdr:col>10</xdr:col>
      <xdr:colOff>121594</xdr:colOff>
      <xdr:row>3</xdr:row>
      <xdr:rowOff>47286</xdr:rowOff>
    </xdr:to>
    <mc:AlternateContent xmlns:mc="http://schemas.openxmlformats.org/markup-compatibility/2006">
      <mc:Choice xmlns:a14="http://schemas.microsoft.com/office/drawing/2010/main" Requires="a14">
        <xdr:graphicFrame macro="">
          <xdr:nvGraphicFramePr>
            <xdr:cNvPr id="14" name="Product">
              <a:extLst>
                <a:ext uri="{FF2B5EF4-FFF2-40B4-BE49-F238E27FC236}">
                  <a16:creationId xmlns:a16="http://schemas.microsoft.com/office/drawing/2014/main" id="{A7415525-29A5-5B3A-1D7C-E131E9AEEE1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101636" y="33778"/>
              <a:ext cx="3099745" cy="560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15.578714583331" createdVersion="8" refreshedVersion="8" minRefreshableVersion="3" recordCount="96" xr:uid="{E847AD36-D22D-488A-AA1B-C27A7510D092}">
  <cacheSource type="worksheet">
    <worksheetSource ref="A1:H97" sheet="Client Data"/>
  </cacheSource>
  <cacheFields count="8">
    <cacheField name="Sale Month" numFmtId="0">
      <sharedItems count="12">
        <s v="January"/>
        <s v="February"/>
        <s v="March"/>
        <s v="April"/>
        <s v="May"/>
        <s v="June"/>
        <s v="July"/>
        <s v="August"/>
        <s v="September"/>
        <s v="October"/>
        <s v="November"/>
        <s v="December"/>
      </sharedItems>
    </cacheField>
    <cacheField name="Product" numFmtId="0">
      <sharedItems count="8">
        <s v="Product-1"/>
        <s v="Product-2"/>
        <s v="Product-3"/>
        <s v="Product-4"/>
        <s v="Product-5"/>
        <s v="Product-6"/>
        <s v="Product-7"/>
        <s v="Product-8"/>
      </sharedItems>
    </cacheField>
    <cacheField name="Location" numFmtId="0">
      <sharedItems count="4">
        <s v="Location-Islamabad"/>
        <s v="Location-Karachi"/>
        <s v="Location-Peshawar"/>
        <s v="Location-Lahore"/>
      </sharedItems>
    </cacheField>
    <cacheField name="Calls Handled" numFmtId="0">
      <sharedItems containsSemiMixedTypes="0" containsString="0" containsNumber="1" containsInteger="1" minValue="3007" maxValue="6949" count="96">
        <n v="3092"/>
        <n v="4182"/>
        <n v="3682"/>
        <n v="5759"/>
        <n v="4919"/>
        <n v="6050"/>
        <n v="6224"/>
        <n v="5223"/>
        <n v="6859"/>
        <n v="5683"/>
        <n v="3771"/>
        <n v="3305"/>
        <n v="6440"/>
        <n v="5869"/>
        <n v="3141"/>
        <n v="5035"/>
        <n v="5339"/>
        <n v="6729"/>
        <n v="5824"/>
        <n v="5856"/>
        <n v="6048"/>
        <n v="4335"/>
        <n v="4003"/>
        <n v="3007"/>
        <n v="4582"/>
        <n v="6769"/>
        <n v="3777"/>
        <n v="5990"/>
        <n v="5441"/>
        <n v="3155"/>
        <n v="5079"/>
        <n v="6203"/>
        <n v="6793"/>
        <n v="5177"/>
        <n v="3800"/>
        <n v="6132"/>
        <n v="3210"/>
        <n v="4511"/>
        <n v="5614"/>
        <n v="3944"/>
        <n v="4032"/>
        <n v="3115"/>
        <n v="5134"/>
        <n v="5701"/>
        <n v="3882"/>
        <n v="4175"/>
        <n v="4583"/>
        <n v="3231"/>
        <n v="3173"/>
        <n v="5724"/>
        <n v="6103"/>
        <n v="6785"/>
        <n v="3027"/>
        <n v="5016"/>
        <n v="3827"/>
        <n v="5032"/>
        <n v="3997"/>
        <n v="5920"/>
        <n v="6481"/>
        <n v="5501"/>
        <n v="6949"/>
        <n v="5439"/>
        <n v="5709"/>
        <n v="5706"/>
        <n v="3307"/>
        <n v="6277"/>
        <n v="6941"/>
        <n v="3788"/>
        <n v="4421"/>
        <n v="6364"/>
        <n v="4347"/>
        <n v="4691"/>
        <n v="4560"/>
        <n v="5765"/>
        <n v="3180"/>
        <n v="4006"/>
        <n v="6085"/>
        <n v="5807"/>
        <n v="3212"/>
        <n v="4831"/>
        <n v="4644"/>
        <n v="4123"/>
        <n v="6448"/>
        <n v="6188"/>
        <n v="6737"/>
        <n v="5368"/>
        <n v="3634"/>
        <n v="6183"/>
        <n v="5883"/>
        <n v="4605"/>
        <n v="4317"/>
        <n v="4679"/>
        <n v="5633"/>
        <n v="4327"/>
        <n v="3903"/>
        <n v="6343"/>
      </sharedItems>
    </cacheField>
    <cacheField name="Average Handle Time" numFmtId="0">
      <sharedItems containsSemiMixedTypes="0" containsString="0" containsNumber="1" containsInteger="1" minValue="314" maxValue="700"/>
    </cacheField>
    <cacheField name="Sales" numFmtId="0">
      <sharedItems containsSemiMixedTypes="0" containsString="0" containsNumber="1" containsInteger="1" minValue="102" maxValue="692"/>
    </cacheField>
    <cacheField name="Revenue" numFmtId="6">
      <sharedItems containsSemiMixedTypes="0" containsString="0" containsNumber="1" containsInteger="1" minValue="1314" maxValue="16821" count="94">
        <n v="8166"/>
        <n v="2603"/>
        <n v="8276"/>
        <n v="6271"/>
        <n v="4791"/>
        <n v="12026"/>
        <n v="9235"/>
        <n v="5384"/>
        <n v="5062"/>
        <n v="10749"/>
        <n v="2021"/>
        <n v="13601"/>
        <n v="16100"/>
        <n v="10960"/>
        <n v="11824"/>
        <n v="13833"/>
        <n v="2911"/>
        <n v="12865"/>
        <n v="4904"/>
        <n v="5321"/>
        <n v="16821"/>
        <n v="10873"/>
        <n v="2222"/>
        <n v="5281"/>
        <n v="3877"/>
        <n v="4253"/>
        <n v="5932"/>
        <n v="10157"/>
        <n v="14554"/>
        <n v="10034"/>
        <n v="4869"/>
        <n v="11515"/>
        <n v="7058"/>
        <n v="8972"/>
        <n v="3002"/>
        <n v="9340"/>
        <n v="8037"/>
        <n v="2797"/>
        <n v="8481"/>
        <n v="5152"/>
        <n v="2409"/>
        <n v="8401"/>
        <n v="4856"/>
        <n v="12276"/>
        <n v="6105"/>
        <n v="5943"/>
        <n v="3053"/>
        <n v="14400"/>
        <n v="1314"/>
        <n v="7808"/>
        <n v="4999"/>
        <n v="15059"/>
        <n v="11283"/>
        <n v="8513"/>
        <n v="5255"/>
        <n v="5770"/>
        <n v="8552"/>
        <n v="12675"/>
        <n v="7989"/>
        <n v="11879"/>
        <n v="8530"/>
        <n v="6859"/>
        <n v="4508"/>
        <n v="8718"/>
        <n v="6710"/>
        <n v="4703"/>
        <n v="9274"/>
        <n v="3741"/>
        <n v="4695"/>
        <n v="8784"/>
        <n v="5564"/>
        <n v="6560"/>
        <n v="4425"/>
        <n v="14330"/>
        <n v="5951"/>
        <n v="11310"/>
        <n v="7110"/>
        <n v="14812"/>
        <n v="6401"/>
        <n v="10474"/>
        <n v="5825"/>
        <n v="6955"/>
        <n v="13215"/>
        <n v="5559"/>
        <n v="5236"/>
        <n v="5023"/>
        <n v="5796"/>
        <n v="12908"/>
        <n v="2679"/>
        <n v="9826"/>
        <n v="4946"/>
        <n v="4440"/>
        <n v="3420"/>
        <n v="9119"/>
      </sharedItems>
    </cacheField>
    <cacheField name="Total Handle Time" numFmtId="0">
      <sharedItems containsSemiMixedTypes="0" containsString="0" containsNumber="1" containsInteger="1" minValue="1043040" maxValue="4401864"/>
    </cacheField>
  </cacheFields>
  <extLst>
    <ext xmlns:x14="http://schemas.microsoft.com/office/spreadsheetml/2009/9/main" uri="{725AE2AE-9491-48be-B2B4-4EB974FC3084}">
      <x14:pivotCacheDefinition pivotCacheId="7540077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15.699607407405" createdVersion="8" refreshedVersion="8" minRefreshableVersion="3" recordCount="96" xr:uid="{8A552D06-C904-49E1-AEF7-B20F430F4710}">
  <cacheSource type="worksheet">
    <worksheetSource name="Table3"/>
  </cacheSource>
  <cacheFields count="9">
    <cacheField name="Sale Month" numFmtId="0">
      <sharedItems/>
    </cacheField>
    <cacheField name="Product" numFmtId="0">
      <sharedItems count="8">
        <s v="Product-1"/>
        <s v="Product-2"/>
        <s v="Product-3"/>
        <s v="Product-4"/>
        <s v="Product-5"/>
        <s v="Product-6"/>
        <s v="Product-7"/>
        <s v="Product-8"/>
      </sharedItems>
    </cacheField>
    <cacheField name="Province" numFmtId="0">
      <sharedItems/>
    </cacheField>
    <cacheField name="Calls Handled" numFmtId="0">
      <sharedItems containsSemiMixedTypes="0" containsString="0" containsNumber="1" containsInteger="1" minValue="3007" maxValue="6949"/>
    </cacheField>
    <cacheField name="Average Handle Time" numFmtId="0">
      <sharedItems containsSemiMixedTypes="0" containsString="0" containsNumber="1" containsInteger="1" minValue="314" maxValue="700"/>
    </cacheField>
    <cacheField name="Sales" numFmtId="0">
      <sharedItems containsSemiMixedTypes="0" containsString="0" containsNumber="1" containsInteger="1" minValue="102" maxValue="692"/>
    </cacheField>
    <cacheField name="Revenue" numFmtId="6">
      <sharedItems containsSemiMixedTypes="0" containsString="0" containsNumber="1" containsInteger="1" minValue="1314" maxValue="16821"/>
    </cacheField>
    <cacheField name="Total Handle Time" numFmtId="0">
      <sharedItems containsSemiMixedTypes="0" containsString="0" containsNumber="1" containsInteger="1" minValue="1043040" maxValue="4401864"/>
    </cacheField>
    <cacheField name="Country" numFmtId="0">
      <sharedItems/>
    </cacheField>
  </cacheFields>
  <extLst>
    <ext xmlns:x14="http://schemas.microsoft.com/office/spreadsheetml/2009/9/main" uri="{725AE2AE-9491-48be-B2B4-4EB974FC3084}">
      <x14:pivotCacheDefinition pivotCacheId="7492908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x v="0"/>
    <x v="0"/>
    <x v="0"/>
    <n v="603"/>
    <n v="634"/>
    <x v="0"/>
    <n v="1864476"/>
  </r>
  <r>
    <x v="0"/>
    <x v="1"/>
    <x v="1"/>
    <x v="1"/>
    <n v="592"/>
    <n v="123"/>
    <x v="1"/>
    <n v="2475744"/>
  </r>
  <r>
    <x v="0"/>
    <x v="2"/>
    <x v="1"/>
    <x v="2"/>
    <n v="405"/>
    <n v="692"/>
    <x v="2"/>
    <n v="1491210"/>
  </r>
  <r>
    <x v="0"/>
    <x v="3"/>
    <x v="2"/>
    <x v="3"/>
    <n v="589"/>
    <n v="284"/>
    <x v="3"/>
    <n v="3392051"/>
  </r>
  <r>
    <x v="0"/>
    <x v="4"/>
    <x v="2"/>
    <x v="4"/>
    <n v="671"/>
    <n v="186"/>
    <x v="4"/>
    <n v="3300649"/>
  </r>
  <r>
    <x v="0"/>
    <x v="5"/>
    <x v="2"/>
    <x v="5"/>
    <n v="472"/>
    <n v="688"/>
    <x v="5"/>
    <n v="2855600"/>
  </r>
  <r>
    <x v="0"/>
    <x v="6"/>
    <x v="0"/>
    <x v="6"/>
    <n v="467"/>
    <n v="478"/>
    <x v="6"/>
    <n v="2906608"/>
  </r>
  <r>
    <x v="0"/>
    <x v="7"/>
    <x v="1"/>
    <x v="7"/>
    <n v="569"/>
    <n v="209"/>
    <x v="7"/>
    <n v="2971887"/>
  </r>
  <r>
    <x v="1"/>
    <x v="0"/>
    <x v="0"/>
    <x v="8"/>
    <n v="591"/>
    <n v="393"/>
    <x v="8"/>
    <n v="4053669"/>
  </r>
  <r>
    <x v="1"/>
    <x v="1"/>
    <x v="2"/>
    <x v="9"/>
    <n v="669"/>
    <n v="508"/>
    <x v="9"/>
    <n v="3801927"/>
  </r>
  <r>
    <x v="1"/>
    <x v="2"/>
    <x v="1"/>
    <x v="10"/>
    <n v="332"/>
    <n v="169"/>
    <x v="10"/>
    <n v="1251972"/>
  </r>
  <r>
    <x v="1"/>
    <x v="3"/>
    <x v="3"/>
    <x v="11"/>
    <n v="350"/>
    <n v="616"/>
    <x v="11"/>
    <n v="1156750"/>
  </r>
  <r>
    <x v="1"/>
    <x v="4"/>
    <x v="3"/>
    <x v="12"/>
    <n v="572"/>
    <n v="625"/>
    <x v="12"/>
    <n v="3683680"/>
  </r>
  <r>
    <x v="1"/>
    <x v="5"/>
    <x v="1"/>
    <x v="13"/>
    <n v="525"/>
    <n v="627"/>
    <x v="13"/>
    <n v="3081225"/>
  </r>
  <r>
    <x v="1"/>
    <x v="6"/>
    <x v="3"/>
    <x v="14"/>
    <n v="618"/>
    <n v="612"/>
    <x v="14"/>
    <n v="1941138"/>
  </r>
  <r>
    <x v="1"/>
    <x v="7"/>
    <x v="3"/>
    <x v="15"/>
    <n v="474"/>
    <n v="537"/>
    <x v="15"/>
    <n v="2386590"/>
  </r>
  <r>
    <x v="2"/>
    <x v="0"/>
    <x v="3"/>
    <x v="16"/>
    <n v="462"/>
    <n v="226"/>
    <x v="16"/>
    <n v="2466618"/>
  </r>
  <r>
    <x v="2"/>
    <x v="1"/>
    <x v="2"/>
    <x v="17"/>
    <n v="531"/>
    <n v="608"/>
    <x v="17"/>
    <n v="3573099"/>
  </r>
  <r>
    <x v="2"/>
    <x v="2"/>
    <x v="2"/>
    <x v="18"/>
    <n v="373"/>
    <n v="410"/>
    <x v="18"/>
    <n v="2172352"/>
  </r>
  <r>
    <x v="2"/>
    <x v="3"/>
    <x v="1"/>
    <x v="19"/>
    <n v="385"/>
    <n v="241"/>
    <x v="19"/>
    <n v="2254560"/>
  </r>
  <r>
    <x v="2"/>
    <x v="4"/>
    <x v="0"/>
    <x v="20"/>
    <n v="405"/>
    <n v="653"/>
    <x v="20"/>
    <n v="2449440"/>
  </r>
  <r>
    <x v="2"/>
    <x v="5"/>
    <x v="1"/>
    <x v="21"/>
    <n v="630"/>
    <n v="622"/>
    <x v="21"/>
    <n v="2731050"/>
  </r>
  <r>
    <x v="2"/>
    <x v="6"/>
    <x v="0"/>
    <x v="22"/>
    <n v="564"/>
    <n v="115"/>
    <x v="22"/>
    <n v="2257692"/>
  </r>
  <r>
    <x v="2"/>
    <x v="7"/>
    <x v="2"/>
    <x v="23"/>
    <n v="639"/>
    <n v="205"/>
    <x v="23"/>
    <n v="1921473"/>
  </r>
  <r>
    <x v="3"/>
    <x v="0"/>
    <x v="2"/>
    <x v="24"/>
    <n v="513"/>
    <n v="301"/>
    <x v="24"/>
    <n v="2350566"/>
  </r>
  <r>
    <x v="3"/>
    <x v="1"/>
    <x v="3"/>
    <x v="25"/>
    <n v="314"/>
    <n v="201"/>
    <x v="25"/>
    <n v="2125466"/>
  </r>
  <r>
    <x v="3"/>
    <x v="2"/>
    <x v="2"/>
    <x v="26"/>
    <n v="547"/>
    <n v="496"/>
    <x v="26"/>
    <n v="2066019"/>
  </r>
  <r>
    <x v="3"/>
    <x v="3"/>
    <x v="0"/>
    <x v="27"/>
    <n v="498"/>
    <n v="460"/>
    <x v="27"/>
    <n v="2983020"/>
  </r>
  <r>
    <x v="3"/>
    <x v="4"/>
    <x v="0"/>
    <x v="28"/>
    <n v="667"/>
    <n v="565"/>
    <x v="28"/>
    <n v="3629147"/>
  </r>
  <r>
    <x v="3"/>
    <x v="5"/>
    <x v="2"/>
    <x v="29"/>
    <n v="413"/>
    <n v="574"/>
    <x v="29"/>
    <n v="1303015"/>
  </r>
  <r>
    <x v="3"/>
    <x v="6"/>
    <x v="2"/>
    <x v="30"/>
    <n v="537"/>
    <n v="252"/>
    <x v="30"/>
    <n v="2727423"/>
  </r>
  <r>
    <x v="3"/>
    <x v="7"/>
    <x v="0"/>
    <x v="31"/>
    <n v="556"/>
    <n v="447"/>
    <x v="31"/>
    <n v="3448868"/>
  </r>
  <r>
    <x v="4"/>
    <x v="0"/>
    <x v="1"/>
    <x v="32"/>
    <n v="648"/>
    <n v="548"/>
    <x v="32"/>
    <n v="4401864"/>
  </r>
  <r>
    <x v="4"/>
    <x v="1"/>
    <x v="2"/>
    <x v="33"/>
    <n v="454"/>
    <n v="424"/>
    <x v="33"/>
    <n v="2350358"/>
  </r>
  <r>
    <x v="4"/>
    <x v="2"/>
    <x v="2"/>
    <x v="34"/>
    <n v="367"/>
    <n v="251"/>
    <x v="34"/>
    <n v="1394600"/>
  </r>
  <r>
    <x v="4"/>
    <x v="3"/>
    <x v="1"/>
    <x v="35"/>
    <n v="376"/>
    <n v="423"/>
    <x v="35"/>
    <n v="2305632"/>
  </r>
  <r>
    <x v="4"/>
    <x v="4"/>
    <x v="1"/>
    <x v="36"/>
    <n v="700"/>
    <n v="312"/>
    <x v="36"/>
    <n v="2247000"/>
  </r>
  <r>
    <x v="4"/>
    <x v="5"/>
    <x v="0"/>
    <x v="37"/>
    <n v="394"/>
    <n v="160"/>
    <x v="37"/>
    <n v="1777334"/>
  </r>
  <r>
    <x v="4"/>
    <x v="6"/>
    <x v="1"/>
    <x v="38"/>
    <n v="352"/>
    <n v="439"/>
    <x v="38"/>
    <n v="1976128"/>
  </r>
  <r>
    <x v="4"/>
    <x v="7"/>
    <x v="2"/>
    <x v="39"/>
    <n v="501"/>
    <n v="200"/>
    <x v="39"/>
    <n v="1975944"/>
  </r>
  <r>
    <x v="5"/>
    <x v="0"/>
    <x v="0"/>
    <x v="40"/>
    <n v="664"/>
    <n v="187"/>
    <x v="40"/>
    <n v="2677248"/>
  </r>
  <r>
    <x v="5"/>
    <x v="1"/>
    <x v="3"/>
    <x v="41"/>
    <n v="592"/>
    <n v="397"/>
    <x v="41"/>
    <n v="1844080"/>
  </r>
  <r>
    <x v="5"/>
    <x v="2"/>
    <x v="3"/>
    <x v="42"/>
    <n v="322"/>
    <n v="406"/>
    <x v="42"/>
    <n v="1653148"/>
  </r>
  <r>
    <x v="5"/>
    <x v="3"/>
    <x v="0"/>
    <x v="43"/>
    <n v="459"/>
    <n v="556"/>
    <x v="43"/>
    <n v="2616759"/>
  </r>
  <r>
    <x v="5"/>
    <x v="4"/>
    <x v="0"/>
    <x v="44"/>
    <n v="460"/>
    <n v="237"/>
    <x v="44"/>
    <n v="1785720"/>
  </r>
  <r>
    <x v="5"/>
    <x v="5"/>
    <x v="1"/>
    <x v="45"/>
    <n v="459"/>
    <n v="340"/>
    <x v="45"/>
    <n v="1916325"/>
  </r>
  <r>
    <x v="5"/>
    <x v="6"/>
    <x v="2"/>
    <x v="46"/>
    <n v="660"/>
    <n v="158"/>
    <x v="46"/>
    <n v="3024780"/>
  </r>
  <r>
    <x v="5"/>
    <x v="7"/>
    <x v="3"/>
    <x v="47"/>
    <n v="515"/>
    <n v="559"/>
    <x v="47"/>
    <n v="1663965"/>
  </r>
  <r>
    <x v="6"/>
    <x v="0"/>
    <x v="0"/>
    <x v="48"/>
    <n v="427"/>
    <n v="102"/>
    <x v="48"/>
    <n v="1354871"/>
  </r>
  <r>
    <x v="6"/>
    <x v="1"/>
    <x v="0"/>
    <x v="49"/>
    <n v="376"/>
    <n v="369"/>
    <x v="49"/>
    <n v="2152224"/>
  </r>
  <r>
    <x v="6"/>
    <x v="2"/>
    <x v="3"/>
    <x v="50"/>
    <n v="661"/>
    <n v="418"/>
    <x v="50"/>
    <n v="4034083"/>
  </r>
  <r>
    <x v="6"/>
    <x v="3"/>
    <x v="3"/>
    <x v="51"/>
    <n v="435"/>
    <n v="682"/>
    <x v="51"/>
    <n v="2951475"/>
  </r>
  <r>
    <x v="6"/>
    <x v="4"/>
    <x v="3"/>
    <x v="52"/>
    <n v="407"/>
    <n v="438"/>
    <x v="52"/>
    <n v="1231989"/>
  </r>
  <r>
    <x v="6"/>
    <x v="5"/>
    <x v="3"/>
    <x v="53"/>
    <n v="681"/>
    <n v="487"/>
    <x v="53"/>
    <n v="3415896"/>
  </r>
  <r>
    <x v="6"/>
    <x v="6"/>
    <x v="3"/>
    <x v="54"/>
    <n v="527"/>
    <n v="272"/>
    <x v="54"/>
    <n v="2016829"/>
  </r>
  <r>
    <x v="6"/>
    <x v="7"/>
    <x v="2"/>
    <x v="55"/>
    <n v="387"/>
    <n v="224"/>
    <x v="55"/>
    <n v="1947384"/>
  </r>
  <r>
    <x v="7"/>
    <x v="0"/>
    <x v="0"/>
    <x v="56"/>
    <n v="453"/>
    <n v="664"/>
    <x v="56"/>
    <n v="1810641"/>
  </r>
  <r>
    <x v="7"/>
    <x v="1"/>
    <x v="1"/>
    <x v="57"/>
    <n v="374"/>
    <n v="599"/>
    <x v="57"/>
    <n v="2214080"/>
  </r>
  <r>
    <x v="7"/>
    <x v="2"/>
    <x v="1"/>
    <x v="58"/>
    <n v="365"/>
    <n v="668"/>
    <x v="58"/>
    <n v="2365565"/>
  </r>
  <r>
    <x v="7"/>
    <x v="3"/>
    <x v="2"/>
    <x v="59"/>
    <n v="588"/>
    <n v="538"/>
    <x v="59"/>
    <n v="3234588"/>
  </r>
  <r>
    <x v="7"/>
    <x v="4"/>
    <x v="1"/>
    <x v="60"/>
    <n v="542"/>
    <n v="205"/>
    <x v="23"/>
    <n v="3766358"/>
  </r>
  <r>
    <x v="7"/>
    <x v="5"/>
    <x v="1"/>
    <x v="61"/>
    <n v="535"/>
    <n v="488"/>
    <x v="60"/>
    <n v="2909865"/>
  </r>
  <r>
    <x v="7"/>
    <x v="6"/>
    <x v="3"/>
    <x v="62"/>
    <n v="514"/>
    <n v="355"/>
    <x v="61"/>
    <n v="2934426"/>
  </r>
  <r>
    <x v="7"/>
    <x v="7"/>
    <x v="2"/>
    <x v="63"/>
    <n v="566"/>
    <n v="537"/>
    <x v="15"/>
    <n v="3229596"/>
  </r>
  <r>
    <x v="8"/>
    <x v="0"/>
    <x v="3"/>
    <x v="64"/>
    <n v="409"/>
    <n v="350"/>
    <x v="62"/>
    <n v="1352563"/>
  </r>
  <r>
    <x v="8"/>
    <x v="1"/>
    <x v="0"/>
    <x v="65"/>
    <n v="505"/>
    <n v="412"/>
    <x v="63"/>
    <n v="3169885"/>
  </r>
  <r>
    <x v="8"/>
    <x v="2"/>
    <x v="1"/>
    <x v="66"/>
    <n v="429"/>
    <n v="561"/>
    <x v="64"/>
    <n v="2977689"/>
  </r>
  <r>
    <x v="8"/>
    <x v="3"/>
    <x v="3"/>
    <x v="67"/>
    <n v="460"/>
    <n v="213"/>
    <x v="65"/>
    <n v="1742480"/>
  </r>
  <r>
    <x v="8"/>
    <x v="4"/>
    <x v="2"/>
    <x v="68"/>
    <n v="420"/>
    <n v="360"/>
    <x v="66"/>
    <n v="1856820"/>
  </r>
  <r>
    <x v="8"/>
    <x v="5"/>
    <x v="3"/>
    <x v="69"/>
    <n v="579"/>
    <n v="214"/>
    <x v="67"/>
    <n v="3684756"/>
  </r>
  <r>
    <x v="8"/>
    <x v="6"/>
    <x v="1"/>
    <x v="70"/>
    <n v="407"/>
    <n v="243"/>
    <x v="68"/>
    <n v="1769229"/>
  </r>
  <r>
    <x v="8"/>
    <x v="7"/>
    <x v="1"/>
    <x v="71"/>
    <n v="641"/>
    <n v="341"/>
    <x v="69"/>
    <n v="3006931"/>
  </r>
  <r>
    <x v="9"/>
    <x v="0"/>
    <x v="1"/>
    <x v="72"/>
    <n v="449"/>
    <n v="432"/>
    <x v="70"/>
    <n v="2047440"/>
  </r>
  <r>
    <x v="9"/>
    <x v="1"/>
    <x v="2"/>
    <x v="73"/>
    <n v="661"/>
    <n v="310"/>
    <x v="71"/>
    <n v="3810665"/>
  </r>
  <r>
    <x v="9"/>
    <x v="2"/>
    <x v="0"/>
    <x v="74"/>
    <n v="328"/>
    <n v="370"/>
    <x v="72"/>
    <n v="1043040"/>
  </r>
  <r>
    <x v="9"/>
    <x v="3"/>
    <x v="1"/>
    <x v="75"/>
    <n v="659"/>
    <n v="649"/>
    <x v="73"/>
    <n v="2639954"/>
  </r>
  <r>
    <x v="9"/>
    <x v="4"/>
    <x v="3"/>
    <x v="76"/>
    <n v="412"/>
    <n v="231"/>
    <x v="74"/>
    <n v="2507020"/>
  </r>
  <r>
    <x v="9"/>
    <x v="5"/>
    <x v="2"/>
    <x v="77"/>
    <n v="537"/>
    <n v="647"/>
    <x v="75"/>
    <n v="3118359"/>
  </r>
  <r>
    <x v="9"/>
    <x v="6"/>
    <x v="1"/>
    <x v="78"/>
    <n v="638"/>
    <n v="368"/>
    <x v="76"/>
    <n v="2049256"/>
  </r>
  <r>
    <x v="9"/>
    <x v="7"/>
    <x v="1"/>
    <x v="79"/>
    <n v="605"/>
    <n v="575"/>
    <x v="77"/>
    <n v="2922755"/>
  </r>
  <r>
    <x v="10"/>
    <x v="0"/>
    <x v="2"/>
    <x v="80"/>
    <n v="508"/>
    <n v="497"/>
    <x v="78"/>
    <n v="2359152"/>
  </r>
  <r>
    <x v="10"/>
    <x v="1"/>
    <x v="1"/>
    <x v="81"/>
    <n v="579"/>
    <n v="495"/>
    <x v="79"/>
    <n v="2387217"/>
  </r>
  <r>
    <x v="10"/>
    <x v="2"/>
    <x v="1"/>
    <x v="82"/>
    <n v="569"/>
    <n v="487"/>
    <x v="80"/>
    <n v="3668912"/>
  </r>
  <r>
    <x v="10"/>
    <x v="3"/>
    <x v="3"/>
    <x v="83"/>
    <n v="634"/>
    <n v="315"/>
    <x v="81"/>
    <n v="3923192"/>
  </r>
  <r>
    <x v="10"/>
    <x v="4"/>
    <x v="3"/>
    <x v="84"/>
    <n v="390"/>
    <n v="513"/>
    <x v="82"/>
    <n v="2627430"/>
  </r>
  <r>
    <x v="10"/>
    <x v="5"/>
    <x v="3"/>
    <x v="85"/>
    <n v="368"/>
    <n v="318"/>
    <x v="83"/>
    <n v="1975424"/>
  </r>
  <r>
    <x v="10"/>
    <x v="6"/>
    <x v="3"/>
    <x v="86"/>
    <n v="369"/>
    <n v="271"/>
    <x v="84"/>
    <n v="1340946"/>
  </r>
  <r>
    <x v="10"/>
    <x v="7"/>
    <x v="3"/>
    <x v="87"/>
    <n v="417"/>
    <n v="195"/>
    <x v="85"/>
    <n v="2578311"/>
  </r>
  <r>
    <x v="11"/>
    <x v="0"/>
    <x v="2"/>
    <x v="88"/>
    <n v="523"/>
    <n v="450"/>
    <x v="86"/>
    <n v="3076809"/>
  </r>
  <r>
    <x v="11"/>
    <x v="1"/>
    <x v="2"/>
    <x v="89"/>
    <n v="539"/>
    <n v="610"/>
    <x v="87"/>
    <n v="2482095"/>
  </r>
  <r>
    <x v="11"/>
    <x v="2"/>
    <x v="0"/>
    <x v="90"/>
    <n v="434"/>
    <n v="224"/>
    <x v="88"/>
    <n v="1873578"/>
  </r>
  <r>
    <x v="11"/>
    <x v="3"/>
    <x v="1"/>
    <x v="91"/>
    <n v="674"/>
    <n v="445"/>
    <x v="89"/>
    <n v="3153646"/>
  </r>
  <r>
    <x v="11"/>
    <x v="4"/>
    <x v="0"/>
    <x v="92"/>
    <n v="675"/>
    <n v="192"/>
    <x v="90"/>
    <n v="3802275"/>
  </r>
  <r>
    <x v="11"/>
    <x v="5"/>
    <x v="0"/>
    <x v="93"/>
    <n v="368"/>
    <n v="254"/>
    <x v="91"/>
    <n v="1592336"/>
  </r>
  <r>
    <x v="11"/>
    <x v="6"/>
    <x v="0"/>
    <x v="94"/>
    <n v="356"/>
    <n v="177"/>
    <x v="92"/>
    <n v="1389468"/>
  </r>
  <r>
    <x v="11"/>
    <x v="7"/>
    <x v="3"/>
    <x v="95"/>
    <n v="337"/>
    <n v="354"/>
    <x v="93"/>
    <n v="21375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January"/>
    <x v="0"/>
    <s v="Sindh"/>
    <n v="3092"/>
    <n v="603"/>
    <n v="634"/>
    <n v="8166"/>
    <n v="1864476"/>
    <s v="Pakistan"/>
  </r>
  <r>
    <s v="January"/>
    <x v="1"/>
    <s v="Panjab"/>
    <n v="4182"/>
    <n v="592"/>
    <n v="123"/>
    <n v="2603"/>
    <n v="2475744"/>
    <s v="Pakistan"/>
  </r>
  <r>
    <s v="January"/>
    <x v="2"/>
    <s v="Panjab"/>
    <n v="3682"/>
    <n v="405"/>
    <n v="692"/>
    <n v="8276"/>
    <n v="1491210"/>
    <s v="Pakistan"/>
  </r>
  <r>
    <s v="January"/>
    <x v="3"/>
    <s v="KPK Pakhtunkhwa"/>
    <n v="5759"/>
    <n v="589"/>
    <n v="284"/>
    <n v="6271"/>
    <n v="3392051"/>
    <s v="Pakistan"/>
  </r>
  <r>
    <s v="January"/>
    <x v="4"/>
    <s v="KPK Pakhtunkhwa"/>
    <n v="4919"/>
    <n v="671"/>
    <n v="186"/>
    <n v="4791"/>
    <n v="3300649"/>
    <s v="Pakistan"/>
  </r>
  <r>
    <s v="January"/>
    <x v="5"/>
    <s v="KPK Pakhtunkhwa"/>
    <n v="6050"/>
    <n v="472"/>
    <n v="688"/>
    <n v="12026"/>
    <n v="2855600"/>
    <s v="Pakistan"/>
  </r>
  <r>
    <s v="January"/>
    <x v="6"/>
    <s v="Sindh"/>
    <n v="6224"/>
    <n v="467"/>
    <n v="478"/>
    <n v="9235"/>
    <n v="2906608"/>
    <s v="Pakistan"/>
  </r>
  <r>
    <s v="January"/>
    <x v="7"/>
    <s v="Panjab"/>
    <n v="5223"/>
    <n v="569"/>
    <n v="209"/>
    <n v="5384"/>
    <n v="2971887"/>
    <s v="Pakistan"/>
  </r>
  <r>
    <s v="February"/>
    <x v="0"/>
    <s v="Sindh"/>
    <n v="6859"/>
    <n v="591"/>
    <n v="393"/>
    <n v="5062"/>
    <n v="4053669"/>
    <s v="Pakistan"/>
  </r>
  <r>
    <s v="February"/>
    <x v="1"/>
    <s v="KPK Pakhtunkhwa"/>
    <n v="5683"/>
    <n v="669"/>
    <n v="508"/>
    <n v="10749"/>
    <n v="3801927"/>
    <s v="Pakistan"/>
  </r>
  <r>
    <s v="February"/>
    <x v="2"/>
    <s v="Panjab"/>
    <n v="3771"/>
    <n v="332"/>
    <n v="169"/>
    <n v="2021"/>
    <n v="1251972"/>
    <s v="Pakistan"/>
  </r>
  <r>
    <s v="February"/>
    <x v="3"/>
    <s v="Balochistan"/>
    <n v="3305"/>
    <n v="350"/>
    <n v="616"/>
    <n v="13601"/>
    <n v="1156750"/>
    <s v="Pakistan"/>
  </r>
  <r>
    <s v="February"/>
    <x v="4"/>
    <s v="Balochistan"/>
    <n v="6440"/>
    <n v="572"/>
    <n v="625"/>
    <n v="16100"/>
    <n v="3683680"/>
    <s v="Pakistan"/>
  </r>
  <r>
    <s v="February"/>
    <x v="5"/>
    <s v="Panjab"/>
    <n v="5869"/>
    <n v="525"/>
    <n v="627"/>
    <n v="10960"/>
    <n v="3081225"/>
    <s v="Pakistan"/>
  </r>
  <r>
    <s v="February"/>
    <x v="6"/>
    <s v="Balochistan"/>
    <n v="3141"/>
    <n v="618"/>
    <n v="612"/>
    <n v="11824"/>
    <n v="1941138"/>
    <s v="Pakistan"/>
  </r>
  <r>
    <s v="February"/>
    <x v="7"/>
    <s v="Balochistan"/>
    <n v="5035"/>
    <n v="474"/>
    <n v="537"/>
    <n v="13833"/>
    <n v="2386590"/>
    <s v="Pakistan"/>
  </r>
  <r>
    <s v="March"/>
    <x v="0"/>
    <s v="Balochistan"/>
    <n v="5339"/>
    <n v="462"/>
    <n v="226"/>
    <n v="2911"/>
    <n v="2466618"/>
    <s v="Pakistan"/>
  </r>
  <r>
    <s v="March"/>
    <x v="1"/>
    <s v="KPK Pakhtunkhwa"/>
    <n v="6729"/>
    <n v="531"/>
    <n v="608"/>
    <n v="12865"/>
    <n v="3573099"/>
    <s v="Pakistan"/>
  </r>
  <r>
    <s v="March"/>
    <x v="2"/>
    <s v="KPK Pakhtunkhwa"/>
    <n v="5824"/>
    <n v="373"/>
    <n v="410"/>
    <n v="4904"/>
    <n v="2172352"/>
    <s v="Pakistan"/>
  </r>
  <r>
    <s v="March"/>
    <x v="3"/>
    <s v="Panjab"/>
    <n v="5856"/>
    <n v="385"/>
    <n v="241"/>
    <n v="5321"/>
    <n v="2254560"/>
    <s v="Pakistan"/>
  </r>
  <r>
    <s v="March"/>
    <x v="4"/>
    <s v="Sindh"/>
    <n v="6048"/>
    <n v="405"/>
    <n v="653"/>
    <n v="16821"/>
    <n v="2449440"/>
    <s v="Pakistan"/>
  </r>
  <r>
    <s v="March"/>
    <x v="5"/>
    <s v="Panjab"/>
    <n v="4335"/>
    <n v="630"/>
    <n v="622"/>
    <n v="10873"/>
    <n v="2731050"/>
    <s v="Pakistan"/>
  </r>
  <r>
    <s v="March"/>
    <x v="6"/>
    <s v="Sindh"/>
    <n v="4003"/>
    <n v="564"/>
    <n v="115"/>
    <n v="2222"/>
    <n v="2257692"/>
    <s v="Pakistan"/>
  </r>
  <r>
    <s v="March"/>
    <x v="7"/>
    <s v="KPK Pakhtunkhwa"/>
    <n v="3007"/>
    <n v="639"/>
    <n v="205"/>
    <n v="5281"/>
    <n v="1921473"/>
    <s v="Pakistan"/>
  </r>
  <r>
    <s v="April"/>
    <x v="0"/>
    <s v="KPK Pakhtunkhwa"/>
    <n v="4582"/>
    <n v="513"/>
    <n v="301"/>
    <n v="3877"/>
    <n v="2350566"/>
    <s v="Pakistan"/>
  </r>
  <r>
    <s v="April"/>
    <x v="1"/>
    <s v="Balochistan"/>
    <n v="6769"/>
    <n v="314"/>
    <n v="201"/>
    <n v="4253"/>
    <n v="2125466"/>
    <s v="Pakistan"/>
  </r>
  <r>
    <s v="April"/>
    <x v="2"/>
    <s v="KPK Pakhtunkhwa"/>
    <n v="3777"/>
    <n v="547"/>
    <n v="496"/>
    <n v="5932"/>
    <n v="2066019"/>
    <s v="Pakistan"/>
  </r>
  <r>
    <s v="April"/>
    <x v="3"/>
    <s v="Sindh"/>
    <n v="5990"/>
    <n v="498"/>
    <n v="460"/>
    <n v="10157"/>
    <n v="2983020"/>
    <s v="Pakistan"/>
  </r>
  <r>
    <s v="April"/>
    <x v="4"/>
    <s v="Sindh"/>
    <n v="5441"/>
    <n v="667"/>
    <n v="565"/>
    <n v="14554"/>
    <n v="3629147"/>
    <s v="Pakistan"/>
  </r>
  <r>
    <s v="April"/>
    <x v="5"/>
    <s v="KPK Pakhtunkhwa"/>
    <n v="3155"/>
    <n v="413"/>
    <n v="574"/>
    <n v="10034"/>
    <n v="1303015"/>
    <s v="Pakistan"/>
  </r>
  <r>
    <s v="April"/>
    <x v="6"/>
    <s v="KPK Pakhtunkhwa"/>
    <n v="5079"/>
    <n v="537"/>
    <n v="252"/>
    <n v="4869"/>
    <n v="2727423"/>
    <s v="Pakistan"/>
  </r>
  <r>
    <s v="April"/>
    <x v="7"/>
    <s v="Sindh"/>
    <n v="6203"/>
    <n v="556"/>
    <n v="447"/>
    <n v="11515"/>
    <n v="3448868"/>
    <s v="Pakistan"/>
  </r>
  <r>
    <s v="May"/>
    <x v="0"/>
    <s v="Panjab"/>
    <n v="6793"/>
    <n v="648"/>
    <n v="548"/>
    <n v="7058"/>
    <n v="4401864"/>
    <s v="Pakistan"/>
  </r>
  <r>
    <s v="May"/>
    <x v="1"/>
    <s v="KPK Pakhtunkhwa"/>
    <n v="5177"/>
    <n v="454"/>
    <n v="424"/>
    <n v="8972"/>
    <n v="2350358"/>
    <s v="Pakistan"/>
  </r>
  <r>
    <s v="May"/>
    <x v="2"/>
    <s v="KPK Pakhtunkhwa"/>
    <n v="3800"/>
    <n v="367"/>
    <n v="251"/>
    <n v="3002"/>
    <n v="1394600"/>
    <s v="Pakistan"/>
  </r>
  <r>
    <s v="May"/>
    <x v="3"/>
    <s v="Panjab"/>
    <n v="6132"/>
    <n v="376"/>
    <n v="423"/>
    <n v="9340"/>
    <n v="2305632"/>
    <s v="Pakistan"/>
  </r>
  <r>
    <s v="May"/>
    <x v="4"/>
    <s v="Panjab"/>
    <n v="3210"/>
    <n v="700"/>
    <n v="312"/>
    <n v="8037"/>
    <n v="2247000"/>
    <s v="Pakistan"/>
  </r>
  <r>
    <s v="May"/>
    <x v="5"/>
    <s v="Sindh"/>
    <n v="4511"/>
    <n v="394"/>
    <n v="160"/>
    <n v="2797"/>
    <n v="1777334"/>
    <s v="Pakistan"/>
  </r>
  <r>
    <s v="May"/>
    <x v="6"/>
    <s v="Panjab"/>
    <n v="5614"/>
    <n v="352"/>
    <n v="439"/>
    <n v="8481"/>
    <n v="1976128"/>
    <s v="Pakistan"/>
  </r>
  <r>
    <s v="May"/>
    <x v="7"/>
    <s v="KPK Pakhtunkhwa"/>
    <n v="3944"/>
    <n v="501"/>
    <n v="200"/>
    <n v="5152"/>
    <n v="1975944"/>
    <s v="Pakistan"/>
  </r>
  <r>
    <s v="June"/>
    <x v="0"/>
    <s v="Sindh"/>
    <n v="4032"/>
    <n v="664"/>
    <n v="187"/>
    <n v="2409"/>
    <n v="2677248"/>
    <s v="Pakistan"/>
  </r>
  <r>
    <s v="June"/>
    <x v="1"/>
    <s v="Balochistan"/>
    <n v="3115"/>
    <n v="592"/>
    <n v="397"/>
    <n v="8401"/>
    <n v="1844080"/>
    <s v="Pakistan"/>
  </r>
  <r>
    <s v="June"/>
    <x v="2"/>
    <s v="Balochistan"/>
    <n v="5134"/>
    <n v="322"/>
    <n v="406"/>
    <n v="4856"/>
    <n v="1653148"/>
    <s v="Pakistan"/>
  </r>
  <r>
    <s v="June"/>
    <x v="3"/>
    <s v="Sindh"/>
    <n v="5701"/>
    <n v="459"/>
    <n v="556"/>
    <n v="12276"/>
    <n v="2616759"/>
    <s v="Pakistan"/>
  </r>
  <r>
    <s v="June"/>
    <x v="4"/>
    <s v="Sindh"/>
    <n v="3882"/>
    <n v="460"/>
    <n v="237"/>
    <n v="6105"/>
    <n v="1785720"/>
    <s v="Pakistan"/>
  </r>
  <r>
    <s v="June"/>
    <x v="5"/>
    <s v="Panjab"/>
    <n v="4175"/>
    <n v="459"/>
    <n v="340"/>
    <n v="5943"/>
    <n v="1916325"/>
    <s v="Pakistan"/>
  </r>
  <r>
    <s v="June"/>
    <x v="6"/>
    <s v="KPK Pakhtunkhwa"/>
    <n v="4583"/>
    <n v="660"/>
    <n v="158"/>
    <n v="3053"/>
    <n v="3024780"/>
    <s v="Pakistan"/>
  </r>
  <r>
    <s v="June"/>
    <x v="7"/>
    <s v="Balochistan"/>
    <n v="3231"/>
    <n v="515"/>
    <n v="559"/>
    <n v="14400"/>
    <n v="1663965"/>
    <s v="Pakistan"/>
  </r>
  <r>
    <s v="July"/>
    <x v="0"/>
    <s v="Sindh"/>
    <n v="3173"/>
    <n v="427"/>
    <n v="102"/>
    <n v="1314"/>
    <n v="1354871"/>
    <s v="Pakistan"/>
  </r>
  <r>
    <s v="July"/>
    <x v="1"/>
    <s v="Sindh"/>
    <n v="5724"/>
    <n v="376"/>
    <n v="369"/>
    <n v="7808"/>
    <n v="2152224"/>
    <s v="Pakistan"/>
  </r>
  <r>
    <s v="July"/>
    <x v="2"/>
    <s v="Balochistan"/>
    <n v="6103"/>
    <n v="661"/>
    <n v="418"/>
    <n v="4999"/>
    <n v="4034083"/>
    <s v="Pakistan"/>
  </r>
  <r>
    <s v="July"/>
    <x v="3"/>
    <s v="Balochistan"/>
    <n v="6785"/>
    <n v="435"/>
    <n v="682"/>
    <n v="15059"/>
    <n v="2951475"/>
    <s v="Pakistan"/>
  </r>
  <r>
    <s v="July"/>
    <x v="4"/>
    <s v="Balochistan"/>
    <n v="3027"/>
    <n v="407"/>
    <n v="438"/>
    <n v="11283"/>
    <n v="1231989"/>
    <s v="Pakistan"/>
  </r>
  <r>
    <s v="July"/>
    <x v="5"/>
    <s v="Balochistan"/>
    <n v="5016"/>
    <n v="681"/>
    <n v="487"/>
    <n v="8513"/>
    <n v="3415896"/>
    <s v="Pakistan"/>
  </r>
  <r>
    <s v="July"/>
    <x v="6"/>
    <s v="Balochistan"/>
    <n v="3827"/>
    <n v="527"/>
    <n v="272"/>
    <n v="5255"/>
    <n v="2016829"/>
    <s v="Pakistan"/>
  </r>
  <r>
    <s v="July"/>
    <x v="7"/>
    <s v="KPK Pakhtunkhwa"/>
    <n v="5032"/>
    <n v="387"/>
    <n v="224"/>
    <n v="5770"/>
    <n v="1947384"/>
    <s v="Pakistan"/>
  </r>
  <r>
    <s v="August"/>
    <x v="0"/>
    <s v="Sindh"/>
    <n v="3997"/>
    <n v="453"/>
    <n v="664"/>
    <n v="8552"/>
    <n v="1810641"/>
    <s v="Pakistan"/>
  </r>
  <r>
    <s v="August"/>
    <x v="1"/>
    <s v="Panjab"/>
    <n v="5920"/>
    <n v="374"/>
    <n v="599"/>
    <n v="12675"/>
    <n v="2214080"/>
    <s v="Pakistan"/>
  </r>
  <r>
    <s v="August"/>
    <x v="2"/>
    <s v="Panjab"/>
    <n v="6481"/>
    <n v="365"/>
    <n v="668"/>
    <n v="7989"/>
    <n v="2365565"/>
    <s v="Pakistan"/>
  </r>
  <r>
    <s v="August"/>
    <x v="3"/>
    <s v="KPK Pakhtunkhwa"/>
    <n v="5501"/>
    <n v="588"/>
    <n v="538"/>
    <n v="11879"/>
    <n v="3234588"/>
    <s v="Pakistan"/>
  </r>
  <r>
    <s v="August"/>
    <x v="4"/>
    <s v="Panjab"/>
    <n v="6949"/>
    <n v="542"/>
    <n v="205"/>
    <n v="5281"/>
    <n v="3766358"/>
    <s v="Pakistan"/>
  </r>
  <r>
    <s v="August"/>
    <x v="5"/>
    <s v="Panjab"/>
    <n v="5439"/>
    <n v="535"/>
    <n v="488"/>
    <n v="8530"/>
    <n v="2909865"/>
    <s v="Pakistan"/>
  </r>
  <r>
    <s v="August"/>
    <x v="6"/>
    <s v="Balochistan"/>
    <n v="5709"/>
    <n v="514"/>
    <n v="355"/>
    <n v="6859"/>
    <n v="2934426"/>
    <s v="Pakistan"/>
  </r>
  <r>
    <s v="August"/>
    <x v="7"/>
    <s v="KPK Pakhtunkhwa"/>
    <n v="5706"/>
    <n v="566"/>
    <n v="537"/>
    <n v="13833"/>
    <n v="3229596"/>
    <s v="Pakistan"/>
  </r>
  <r>
    <s v="September"/>
    <x v="0"/>
    <s v="Balochistan"/>
    <n v="3307"/>
    <n v="409"/>
    <n v="350"/>
    <n v="4508"/>
    <n v="1352563"/>
    <s v="Pakistan"/>
  </r>
  <r>
    <s v="September"/>
    <x v="1"/>
    <s v="Sindh"/>
    <n v="6277"/>
    <n v="505"/>
    <n v="412"/>
    <n v="8718"/>
    <n v="3169885"/>
    <s v="Pakistan"/>
  </r>
  <r>
    <s v="September"/>
    <x v="2"/>
    <s v="Panjab"/>
    <n v="6941"/>
    <n v="429"/>
    <n v="561"/>
    <n v="6710"/>
    <n v="2977689"/>
    <s v="Pakistan"/>
  </r>
  <r>
    <s v="September"/>
    <x v="3"/>
    <s v="Balochistan"/>
    <n v="3788"/>
    <n v="460"/>
    <n v="213"/>
    <n v="4703"/>
    <n v="1742480"/>
    <s v="Pakistan"/>
  </r>
  <r>
    <s v="September"/>
    <x v="4"/>
    <s v="KPK Pakhtunkhwa"/>
    <n v="4421"/>
    <n v="420"/>
    <n v="360"/>
    <n v="9274"/>
    <n v="1856820"/>
    <s v="Pakistan"/>
  </r>
  <r>
    <s v="September"/>
    <x v="5"/>
    <s v="Balochistan"/>
    <n v="6364"/>
    <n v="579"/>
    <n v="214"/>
    <n v="3741"/>
    <n v="3684756"/>
    <s v="Pakistan"/>
  </r>
  <r>
    <s v="September"/>
    <x v="6"/>
    <s v="Panjab"/>
    <n v="4347"/>
    <n v="407"/>
    <n v="243"/>
    <n v="4695"/>
    <n v="1769229"/>
    <s v="Pakistan"/>
  </r>
  <r>
    <s v="September"/>
    <x v="7"/>
    <s v="Panjab"/>
    <n v="4691"/>
    <n v="641"/>
    <n v="341"/>
    <n v="8784"/>
    <n v="3006931"/>
    <s v="Pakistan"/>
  </r>
  <r>
    <s v="October"/>
    <x v="0"/>
    <s v="Panjab"/>
    <n v="4560"/>
    <n v="449"/>
    <n v="432"/>
    <n v="5564"/>
    <n v="2047440"/>
    <s v="Pakistan"/>
  </r>
  <r>
    <s v="October"/>
    <x v="1"/>
    <s v="KPK Pakhtunkhwa"/>
    <n v="5765"/>
    <n v="661"/>
    <n v="310"/>
    <n v="6560"/>
    <n v="3810665"/>
    <s v="Pakistan"/>
  </r>
  <r>
    <s v="October"/>
    <x v="2"/>
    <s v="Sindh"/>
    <n v="3180"/>
    <n v="328"/>
    <n v="370"/>
    <n v="4425"/>
    <n v="1043040"/>
    <s v="Pakistan"/>
  </r>
  <r>
    <s v="October"/>
    <x v="3"/>
    <s v="Panjab"/>
    <n v="4006"/>
    <n v="659"/>
    <n v="649"/>
    <n v="14330"/>
    <n v="2639954"/>
    <s v="Pakistan"/>
  </r>
  <r>
    <s v="October"/>
    <x v="4"/>
    <s v="Balochistan"/>
    <n v="6085"/>
    <n v="412"/>
    <n v="231"/>
    <n v="5951"/>
    <n v="2507020"/>
    <s v="Pakistan"/>
  </r>
  <r>
    <s v="October"/>
    <x v="5"/>
    <s v="KPK Pakhtunkhwa"/>
    <n v="5807"/>
    <n v="537"/>
    <n v="647"/>
    <n v="11310"/>
    <n v="3118359"/>
    <s v="Pakistan"/>
  </r>
  <r>
    <s v="October"/>
    <x v="6"/>
    <s v="Panjab"/>
    <n v="3212"/>
    <n v="638"/>
    <n v="368"/>
    <n v="7110"/>
    <n v="2049256"/>
    <s v="Pakistan"/>
  </r>
  <r>
    <s v="October"/>
    <x v="7"/>
    <s v="Panjab"/>
    <n v="4831"/>
    <n v="605"/>
    <n v="575"/>
    <n v="14812"/>
    <n v="2922755"/>
    <s v="Pakistan"/>
  </r>
  <r>
    <s v="November"/>
    <x v="0"/>
    <s v="KPK Pakhtunkhwa"/>
    <n v="4644"/>
    <n v="508"/>
    <n v="497"/>
    <n v="6401"/>
    <n v="2359152"/>
    <s v="Pakistan"/>
  </r>
  <r>
    <s v="November"/>
    <x v="1"/>
    <s v="Panjab"/>
    <n v="4123"/>
    <n v="579"/>
    <n v="495"/>
    <n v="10474"/>
    <n v="2387217"/>
    <s v="Pakistan"/>
  </r>
  <r>
    <s v="November"/>
    <x v="2"/>
    <s v="Panjab"/>
    <n v="6448"/>
    <n v="569"/>
    <n v="487"/>
    <n v="5825"/>
    <n v="3668912"/>
    <s v="Pakistan"/>
  </r>
  <r>
    <s v="November"/>
    <x v="3"/>
    <s v="Balochistan"/>
    <n v="6188"/>
    <n v="634"/>
    <n v="315"/>
    <n v="6955"/>
    <n v="3923192"/>
    <s v="Pakistan"/>
  </r>
  <r>
    <s v="November"/>
    <x v="4"/>
    <s v="Balochistan"/>
    <n v="6737"/>
    <n v="390"/>
    <n v="513"/>
    <n v="13215"/>
    <n v="2627430"/>
    <s v="Pakistan"/>
  </r>
  <r>
    <s v="November"/>
    <x v="5"/>
    <s v="Balochistan"/>
    <n v="5368"/>
    <n v="368"/>
    <n v="318"/>
    <n v="5559"/>
    <n v="1975424"/>
    <s v="Pakistan"/>
  </r>
  <r>
    <s v="November"/>
    <x v="6"/>
    <s v="Balochistan"/>
    <n v="3634"/>
    <n v="369"/>
    <n v="271"/>
    <n v="5236"/>
    <n v="1340946"/>
    <s v="Pakistan"/>
  </r>
  <r>
    <s v="November"/>
    <x v="7"/>
    <s v="Balochistan"/>
    <n v="6183"/>
    <n v="417"/>
    <n v="195"/>
    <n v="5023"/>
    <n v="2578311"/>
    <s v="Pakistan"/>
  </r>
  <r>
    <s v="December"/>
    <x v="0"/>
    <s v="KPK Pakhtunkhwa"/>
    <n v="5883"/>
    <n v="523"/>
    <n v="450"/>
    <n v="5796"/>
    <n v="3076809"/>
    <s v="Pakistan"/>
  </r>
  <r>
    <s v="December"/>
    <x v="1"/>
    <s v="KPK Pakhtunkhwa"/>
    <n v="4605"/>
    <n v="539"/>
    <n v="610"/>
    <n v="12908"/>
    <n v="2482095"/>
    <s v="Pakistan"/>
  </r>
  <r>
    <s v="December"/>
    <x v="2"/>
    <s v="Sindh"/>
    <n v="4317"/>
    <n v="434"/>
    <n v="224"/>
    <n v="2679"/>
    <n v="1873578"/>
    <s v="Pakistan"/>
  </r>
  <r>
    <s v="December"/>
    <x v="3"/>
    <s v="Panjab"/>
    <n v="4679"/>
    <n v="674"/>
    <n v="445"/>
    <n v="9826"/>
    <n v="3153646"/>
    <s v="Pakistan"/>
  </r>
  <r>
    <s v="December"/>
    <x v="4"/>
    <s v="Sindh"/>
    <n v="5633"/>
    <n v="675"/>
    <n v="192"/>
    <n v="4946"/>
    <n v="3802275"/>
    <s v="Pakistan"/>
  </r>
  <r>
    <s v="December"/>
    <x v="5"/>
    <s v="Sindh"/>
    <n v="4327"/>
    <n v="368"/>
    <n v="254"/>
    <n v="4440"/>
    <n v="1592336"/>
    <s v="Pakistan"/>
  </r>
  <r>
    <s v="December"/>
    <x v="6"/>
    <s v="Sindh"/>
    <n v="3903"/>
    <n v="356"/>
    <n v="177"/>
    <n v="3420"/>
    <n v="1389468"/>
    <s v="Pakistan"/>
  </r>
  <r>
    <s v="December"/>
    <x v="7"/>
    <s v="Balochistan"/>
    <n v="6343"/>
    <n v="337"/>
    <n v="354"/>
    <n v="9119"/>
    <n v="2137591"/>
    <s v="Pakist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C6495E-4D89-4F0C-8F57-5128FA3E1AF8}"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8">
    <pivotField axis="axisRow" showAll="0">
      <items count="13">
        <item x="0"/>
        <item x="1"/>
        <item x="2"/>
        <item x="3"/>
        <item x="4"/>
        <item x="5"/>
        <item x="6"/>
        <item x="7"/>
        <item x="8"/>
        <item x="9"/>
        <item x="10"/>
        <item x="11"/>
        <item t="default"/>
      </items>
    </pivotField>
    <pivotField showAll="0"/>
    <pivotField showAll="0"/>
    <pivotField showAll="0"/>
    <pivotField showAll="0"/>
    <pivotField dataField="1" showAll="0"/>
    <pivotField numFmtId="6"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1A1F86-EC8E-4357-8A98-574227B6C89C}"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8">
    <pivotField showAll="0"/>
    <pivotField axis="axisRow"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6" showAll="0">
      <items count="95">
        <item x="48"/>
        <item x="10"/>
        <item x="22"/>
        <item x="40"/>
        <item x="1"/>
        <item x="88"/>
        <item x="37"/>
        <item x="16"/>
        <item x="34"/>
        <item x="46"/>
        <item x="92"/>
        <item x="67"/>
        <item x="24"/>
        <item x="25"/>
        <item x="72"/>
        <item x="91"/>
        <item x="62"/>
        <item x="68"/>
        <item x="65"/>
        <item x="4"/>
        <item x="42"/>
        <item x="30"/>
        <item x="18"/>
        <item x="90"/>
        <item x="50"/>
        <item x="85"/>
        <item x="8"/>
        <item x="39"/>
        <item x="84"/>
        <item x="54"/>
        <item x="23"/>
        <item x="19"/>
        <item x="7"/>
        <item x="83"/>
        <item x="70"/>
        <item x="55"/>
        <item x="86"/>
        <item x="80"/>
        <item x="26"/>
        <item x="45"/>
        <item x="74"/>
        <item x="44"/>
        <item x="3"/>
        <item x="78"/>
        <item x="71"/>
        <item x="64"/>
        <item x="61"/>
        <item x="81"/>
        <item x="32"/>
        <item x="76"/>
        <item x="49"/>
        <item x="58"/>
        <item x="36"/>
        <item x="0"/>
        <item x="2"/>
        <item x="41"/>
        <item x="38"/>
        <item x="53"/>
        <item x="60"/>
        <item x="56"/>
        <item x="63"/>
        <item x="69"/>
        <item x="33"/>
        <item x="93"/>
        <item x="6"/>
        <item x="66"/>
        <item x="35"/>
        <item x="89"/>
        <item x="29"/>
        <item x="27"/>
        <item x="79"/>
        <item x="9"/>
        <item x="21"/>
        <item x="13"/>
        <item x="52"/>
        <item x="75"/>
        <item x="31"/>
        <item x="14"/>
        <item x="59"/>
        <item x="5"/>
        <item x="43"/>
        <item x="57"/>
        <item x="17"/>
        <item x="87"/>
        <item x="82"/>
        <item x="11"/>
        <item x="15"/>
        <item x="73"/>
        <item x="47"/>
        <item x="28"/>
        <item x="77"/>
        <item x="51"/>
        <item x="12"/>
        <item x="20"/>
        <item t="default"/>
      </items>
    </pivotField>
    <pivotField showAll="0"/>
  </pivotFields>
  <rowFields count="1">
    <field x="1"/>
  </rowFields>
  <rowItems count="9">
    <i>
      <x/>
    </i>
    <i>
      <x v="2"/>
    </i>
    <i>
      <x v="6"/>
    </i>
    <i>
      <x v="5"/>
    </i>
    <i>
      <x v="1"/>
    </i>
    <i>
      <x v="7"/>
    </i>
    <i>
      <x v="4"/>
    </i>
    <i>
      <x v="3"/>
    </i>
    <i t="grand">
      <x/>
    </i>
  </rowItems>
  <colItems count="1">
    <i/>
  </colItems>
  <dataFields count="1">
    <dataField name="Sum of Revenue" fld="6" baseField="0" baseItem="0"/>
  </dataFields>
  <chartFormats count="2">
    <chartFormat chart="0"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2EC4AC-798C-422F-812B-0E633C0BFF02}"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2" firstHeaderRow="0" firstDataRow="1" firstDataCol="1"/>
  <pivotFields count="8">
    <pivotField showAll="0"/>
    <pivotField axis="axisRow" showAll="0">
      <items count="9">
        <item x="0"/>
        <item x="1"/>
        <item x="2"/>
        <item x="3"/>
        <item x="4"/>
        <item x="5"/>
        <item x="6"/>
        <item x="7"/>
        <item t="default"/>
      </items>
    </pivotField>
    <pivotField showAll="0">
      <items count="5">
        <item x="0"/>
        <item x="1"/>
        <item x="3"/>
        <item x="2"/>
        <item t="default"/>
      </items>
    </pivotField>
    <pivotField dataField="1" showAll="0">
      <items count="97">
        <item x="23"/>
        <item x="52"/>
        <item x="0"/>
        <item x="41"/>
        <item x="14"/>
        <item x="29"/>
        <item x="48"/>
        <item x="74"/>
        <item x="36"/>
        <item x="78"/>
        <item x="47"/>
        <item x="11"/>
        <item x="64"/>
        <item x="86"/>
        <item x="2"/>
        <item x="10"/>
        <item x="26"/>
        <item x="67"/>
        <item x="34"/>
        <item x="54"/>
        <item x="44"/>
        <item x="94"/>
        <item x="39"/>
        <item x="56"/>
        <item x="22"/>
        <item x="75"/>
        <item x="40"/>
        <item x="81"/>
        <item x="45"/>
        <item x="1"/>
        <item x="90"/>
        <item x="93"/>
        <item x="21"/>
        <item x="70"/>
        <item x="68"/>
        <item x="37"/>
        <item x="72"/>
        <item x="24"/>
        <item x="46"/>
        <item x="89"/>
        <item x="80"/>
        <item x="91"/>
        <item x="71"/>
        <item x="79"/>
        <item x="4"/>
        <item x="53"/>
        <item x="55"/>
        <item x="15"/>
        <item x="30"/>
        <item x="42"/>
        <item x="33"/>
        <item x="7"/>
        <item x="16"/>
        <item x="85"/>
        <item x="61"/>
        <item x="28"/>
        <item x="59"/>
        <item x="38"/>
        <item x="92"/>
        <item x="9"/>
        <item x="43"/>
        <item x="63"/>
        <item x="62"/>
        <item x="49"/>
        <item x="3"/>
        <item x="73"/>
        <item x="77"/>
        <item x="18"/>
        <item x="19"/>
        <item x="13"/>
        <item x="88"/>
        <item x="57"/>
        <item x="27"/>
        <item x="20"/>
        <item x="5"/>
        <item x="76"/>
        <item x="50"/>
        <item x="35"/>
        <item x="87"/>
        <item x="83"/>
        <item x="31"/>
        <item x="6"/>
        <item x="65"/>
        <item x="95"/>
        <item x="69"/>
        <item x="12"/>
        <item x="82"/>
        <item x="58"/>
        <item x="17"/>
        <item x="84"/>
        <item x="25"/>
        <item x="51"/>
        <item x="32"/>
        <item x="8"/>
        <item x="66"/>
        <item x="60"/>
        <item t="default"/>
      </items>
    </pivotField>
    <pivotField showAll="0"/>
    <pivotField dataField="1" showAll="0"/>
    <pivotField numFmtId="6" showAll="0"/>
    <pivotField showAll="0"/>
  </pivotFields>
  <rowFields count="1">
    <field x="1"/>
  </rowFields>
  <rowItems count="9">
    <i>
      <x/>
    </i>
    <i>
      <x v="1"/>
    </i>
    <i>
      <x v="2"/>
    </i>
    <i>
      <x v="3"/>
    </i>
    <i>
      <x v="4"/>
    </i>
    <i>
      <x v="5"/>
    </i>
    <i>
      <x v="6"/>
    </i>
    <i>
      <x v="7"/>
    </i>
    <i t="grand">
      <x/>
    </i>
  </rowItems>
  <colFields count="1">
    <field x="-2"/>
  </colFields>
  <colItems count="2">
    <i>
      <x/>
    </i>
    <i i="1">
      <x v="1"/>
    </i>
  </colItems>
  <dataFields count="2">
    <dataField name="Sum of Sales" fld="5" baseField="0" baseItem="0"/>
    <dataField name="Sum of Calls Handled"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A63D17-CEAF-4256-8AA5-051555747866}"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2" firstHeaderRow="0" firstDataRow="1" firstDataCol="1"/>
  <pivotFields count="9">
    <pivotField showAll="0"/>
    <pivotField axis="axisRow"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dataField="1" showAll="0"/>
    <pivotField numFmtId="6" showAll="0"/>
    <pivotField showAll="0"/>
    <pivotField showAll="0"/>
  </pivotFields>
  <rowFields count="1">
    <field x="1"/>
  </rowFields>
  <rowItems count="9">
    <i>
      <x v="6"/>
    </i>
    <i>
      <x/>
    </i>
    <i>
      <x v="7"/>
    </i>
    <i>
      <x v="2"/>
    </i>
    <i>
      <x v="5"/>
    </i>
    <i>
      <x v="4"/>
    </i>
    <i>
      <x v="3"/>
    </i>
    <i>
      <x v="1"/>
    </i>
    <i t="grand">
      <x/>
    </i>
  </rowItems>
  <colFields count="1">
    <field x="-2"/>
  </colFields>
  <colItems count="2">
    <i>
      <x/>
    </i>
    <i i="1">
      <x v="1"/>
    </i>
  </colItems>
  <dataFields count="2">
    <dataField name="Sum of Calls Handled" fld="3" baseField="0" baseItem="0"/>
    <dataField name="Sum of Sales"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1E00B7-9C28-4D71-BF4C-E4AB411D5D5E}"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2" firstHeaderRow="1" firstDataRow="1" firstDataCol="1"/>
  <pivotFields count="9">
    <pivotField showAll="0"/>
    <pivotField axis="axisRow" showAll="0">
      <items count="9">
        <item x="0"/>
        <item x="1"/>
        <item x="2"/>
        <item x="3"/>
        <item x="4"/>
        <item x="5"/>
        <item x="6"/>
        <item x="7"/>
        <item t="default"/>
      </items>
    </pivotField>
    <pivotField showAll="0"/>
    <pivotField showAll="0"/>
    <pivotField dataField="1" showAll="0"/>
    <pivotField showAll="0"/>
    <pivotField numFmtId="6" showAll="0"/>
    <pivotField showAll="0"/>
    <pivotField showAll="0"/>
  </pivotFields>
  <rowFields count="1">
    <field x="1"/>
  </rowFields>
  <rowItems count="9">
    <i>
      <x/>
    </i>
    <i>
      <x v="1"/>
    </i>
    <i>
      <x v="2"/>
    </i>
    <i>
      <x v="3"/>
    </i>
    <i>
      <x v="4"/>
    </i>
    <i>
      <x v="5"/>
    </i>
    <i>
      <x v="6"/>
    </i>
    <i>
      <x v="7"/>
    </i>
    <i t="grand">
      <x/>
    </i>
  </rowItems>
  <colItems count="1">
    <i/>
  </colItems>
  <dataFields count="1">
    <dataField name="Sum of Average Handle Time" fld="4" baseField="0" baseItem="0"/>
  </dataFields>
  <chartFormats count="1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2"/>
          </reference>
        </references>
      </pivotArea>
    </chartFormat>
    <chartFormat chart="7" format="2">
      <pivotArea type="data" outline="0" fieldPosition="0">
        <references count="2">
          <reference field="4294967294" count="1" selected="0">
            <x v="0"/>
          </reference>
          <reference field="1" count="1" selected="0">
            <x v="1"/>
          </reference>
        </references>
      </pivotArea>
    </chartFormat>
    <chartFormat chart="7" format="3">
      <pivotArea type="data" outline="0" fieldPosition="0">
        <references count="2">
          <reference field="4294967294" count="1" selected="0">
            <x v="0"/>
          </reference>
          <reference field="1" count="1" selected="0">
            <x v="0"/>
          </reference>
        </references>
      </pivotArea>
    </chartFormat>
    <chartFormat chart="7" format="4">
      <pivotArea type="data" outline="0" fieldPosition="0">
        <references count="2">
          <reference field="4294967294" count="1" selected="0">
            <x v="0"/>
          </reference>
          <reference field="1" count="1" selected="0">
            <x v="7"/>
          </reference>
        </references>
      </pivotArea>
    </chartFormat>
    <chartFormat chart="7" format="5">
      <pivotArea type="data" outline="0" fieldPosition="0">
        <references count="2">
          <reference field="4294967294" count="1" selected="0">
            <x v="0"/>
          </reference>
          <reference field="1" count="1" selected="0">
            <x v="6"/>
          </reference>
        </references>
      </pivotArea>
    </chartFormat>
    <chartFormat chart="7" format="6">
      <pivotArea type="data" outline="0" fieldPosition="0">
        <references count="2">
          <reference field="4294967294" count="1" selected="0">
            <x v="0"/>
          </reference>
          <reference field="1" count="1" selected="0">
            <x v="5"/>
          </reference>
        </references>
      </pivotArea>
    </chartFormat>
    <chartFormat chart="7" format="7">
      <pivotArea type="data" outline="0" fieldPosition="0">
        <references count="2">
          <reference field="4294967294" count="1" selected="0">
            <x v="0"/>
          </reference>
          <reference field="1" count="1" selected="0">
            <x v="4"/>
          </reference>
        </references>
      </pivotArea>
    </chartFormat>
    <chartFormat chart="7" format="8">
      <pivotArea type="data" outline="0" fieldPosition="0">
        <references count="2">
          <reference field="4294967294" count="1" selected="0">
            <x v="0"/>
          </reference>
          <reference field="1" count="1" selected="0">
            <x v="3"/>
          </reference>
        </references>
      </pivotArea>
    </chartFormat>
    <chartFormat chart="11" format="18" series="1">
      <pivotArea type="data" outline="0" fieldPosition="0">
        <references count="1">
          <reference field="4294967294" count="1" selected="0">
            <x v="0"/>
          </reference>
        </references>
      </pivotArea>
    </chartFormat>
    <chartFormat chart="11" format="19">
      <pivotArea type="data" outline="0" fieldPosition="0">
        <references count="2">
          <reference field="4294967294" count="1" selected="0">
            <x v="0"/>
          </reference>
          <reference field="1" count="1" selected="0">
            <x v="0"/>
          </reference>
        </references>
      </pivotArea>
    </chartFormat>
    <chartFormat chart="11" format="20">
      <pivotArea type="data" outline="0" fieldPosition="0">
        <references count="2">
          <reference field="4294967294" count="1" selected="0">
            <x v="0"/>
          </reference>
          <reference field="1" count="1" selected="0">
            <x v="1"/>
          </reference>
        </references>
      </pivotArea>
    </chartFormat>
    <chartFormat chart="11" format="21">
      <pivotArea type="data" outline="0" fieldPosition="0">
        <references count="2">
          <reference field="4294967294" count="1" selected="0">
            <x v="0"/>
          </reference>
          <reference field="1" count="1" selected="0">
            <x v="2"/>
          </reference>
        </references>
      </pivotArea>
    </chartFormat>
    <chartFormat chart="11" format="22">
      <pivotArea type="data" outline="0" fieldPosition="0">
        <references count="2">
          <reference field="4294967294" count="1" selected="0">
            <x v="0"/>
          </reference>
          <reference field="1" count="1" selected="0">
            <x v="3"/>
          </reference>
        </references>
      </pivotArea>
    </chartFormat>
    <chartFormat chart="11" format="23">
      <pivotArea type="data" outline="0" fieldPosition="0">
        <references count="2">
          <reference field="4294967294" count="1" selected="0">
            <x v="0"/>
          </reference>
          <reference field="1" count="1" selected="0">
            <x v="4"/>
          </reference>
        </references>
      </pivotArea>
    </chartFormat>
    <chartFormat chart="11" format="24">
      <pivotArea type="data" outline="0" fieldPosition="0">
        <references count="2">
          <reference field="4294967294" count="1" selected="0">
            <x v="0"/>
          </reference>
          <reference field="1" count="1" selected="0">
            <x v="5"/>
          </reference>
        </references>
      </pivotArea>
    </chartFormat>
    <chartFormat chart="11" format="25">
      <pivotArea type="data" outline="0" fieldPosition="0">
        <references count="2">
          <reference field="4294967294" count="1" selected="0">
            <x v="0"/>
          </reference>
          <reference field="1" count="1" selected="0">
            <x v="6"/>
          </reference>
        </references>
      </pivotArea>
    </chartFormat>
    <chartFormat chart="11" format="26">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Month" xr10:uid="{61919717-B757-4172-834A-83EFD2505A13}" sourceName="Sale Month">
  <pivotTables>
    <pivotTable tabId="5" name="PivotTable1"/>
  </pivotTables>
  <data>
    <tabular pivotCacheId="75400777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756811A-C9E5-42F1-828F-40289B4C0DB8}" sourceName="Product">
  <pivotTables>
    <pivotTable tabId="9" name="PivotTable7"/>
  </pivotTables>
  <data>
    <tabular pivotCacheId="749290806">
      <items count="8">
        <i x="0" s="1"/>
        <i x="1" s="1"/>
        <i x="2" s="1"/>
        <i x="3" s="1"/>
        <i x="4"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C7AE8DD5-F50B-40B2-BCAB-DE2D6A4F2607}" sourceName="Province">
  <extLst>
    <x:ext xmlns:x15="http://schemas.microsoft.com/office/spreadsheetml/2010/11/main" uri="{2F2917AC-EB37-4324-AD4E-5DD8C200BD13}">
      <x15:tableSlicerCache tableId="3"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xr10:uid="{DD267641-6E5F-4A5C-8FE5-2CA1D973E6BB}" cache="Slicer_Province" caption="Province" columnCount="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Month" xr10:uid="{5F9C42C3-D357-47E5-8597-B12FAB2EBD32}" cache="Slicer_Sale_Month" caption="Sale By Month" startItem="2" columnCount="2" style="SlicerStyleOther2" rowHeight="173736"/>
  <slicer name="Product" xr10:uid="{F6C22FE2-2BE9-41B4-A35D-9FE37FC62B84}" cache="Slicer_Product" caption="Product" columnCount="3" rowHeight="13716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1" xr10:uid="{0F39095D-3D43-4297-8AB0-1F42D0A2FD0B}" cache="Slicer_Province" caption="Province" columnCount="2" style="SlicerStyleLight6"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CAEFCF-9C49-4C51-B189-3C182168BBE0}" name="Table3" displayName="Table3" ref="A1:I97" totalsRowShown="0" headerRowDxfId="3" headerRowBorderDxfId="14" tableBorderDxfId="15" totalsRowBorderDxfId="13">
  <autoFilter ref="A1:I97" xr:uid="{2DCAEFCF-9C49-4C51-B189-3C182168BBE0}"/>
  <tableColumns count="9">
    <tableColumn id="1" xr3:uid="{537501FF-7CB0-4EDF-BAFC-E9F881147DF8}" name="Sale Month" dataDxfId="12"/>
    <tableColumn id="2" xr3:uid="{F66C70AD-8752-4042-8C65-48F6343913B8}" name="Product" dataDxfId="11"/>
    <tableColumn id="3" xr3:uid="{41B9C65D-36E2-4962-A4C2-3A02AEF3B7B9}" name="Province" dataDxfId="10"/>
    <tableColumn id="4" xr3:uid="{9F8B802B-A9C6-4AFF-A8A6-E94E870CB307}" name="Calls Handled" dataDxfId="9"/>
    <tableColumn id="5" xr3:uid="{62FF8516-CBB0-4F52-B4D1-518F16262581}" name="Average Handle Time" dataDxfId="8"/>
    <tableColumn id="6" xr3:uid="{3CD10451-D1FE-4974-A63A-B49A539AB37D}" name="Sales" dataDxfId="7"/>
    <tableColumn id="7" xr3:uid="{DAF91B6E-B388-4A8E-B089-D93B06A022E7}" name="Revenue" dataDxfId="6"/>
    <tableColumn id="8" xr3:uid="{B697BDF0-D01F-46A8-82D4-F9AFFE8BEFBD}" name="Total Handle Time" dataDxfId="5"/>
    <tableColumn id="9" xr3:uid="{2F7EDF72-2AFE-4F28-8F91-D3B9FFC54DEE}" name="Country"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7CEF4-3E21-45CF-9C50-FE3C05038394}">
  <dimension ref="A3:B16"/>
  <sheetViews>
    <sheetView workbookViewId="0">
      <selection activeCell="L3" sqref="L3"/>
    </sheetView>
  </sheetViews>
  <sheetFormatPr defaultRowHeight="14.5" x14ac:dyDescent="0.35"/>
  <cols>
    <col min="1" max="1" width="12.453125" bestFit="1" customWidth="1"/>
    <col min="2" max="2" width="11.54296875" bestFit="1" customWidth="1"/>
  </cols>
  <sheetData>
    <row r="3" spans="1:2" x14ac:dyDescent="0.35">
      <c r="A3" s="4" t="s">
        <v>27</v>
      </c>
      <c r="B3" t="s">
        <v>30</v>
      </c>
    </row>
    <row r="4" spans="1:2" x14ac:dyDescent="0.35">
      <c r="A4" s="5" t="s">
        <v>7</v>
      </c>
      <c r="B4" s="6">
        <v>3294</v>
      </c>
    </row>
    <row r="5" spans="1:2" x14ac:dyDescent="0.35">
      <c r="A5" s="5" t="s">
        <v>16</v>
      </c>
      <c r="B5" s="6">
        <v>4087</v>
      </c>
    </row>
    <row r="6" spans="1:2" x14ac:dyDescent="0.35">
      <c r="A6" s="5" t="s">
        <v>17</v>
      </c>
      <c r="B6" s="6">
        <v>3080</v>
      </c>
    </row>
    <row r="7" spans="1:2" x14ac:dyDescent="0.35">
      <c r="A7" s="5" t="s">
        <v>18</v>
      </c>
      <c r="B7" s="6">
        <v>3296</v>
      </c>
    </row>
    <row r="8" spans="1:2" x14ac:dyDescent="0.35">
      <c r="A8" s="5" t="s">
        <v>19</v>
      </c>
      <c r="B8" s="6">
        <v>2757</v>
      </c>
    </row>
    <row r="9" spans="1:2" x14ac:dyDescent="0.35">
      <c r="A9" s="5" t="s">
        <v>20</v>
      </c>
      <c r="B9" s="6">
        <v>2840</v>
      </c>
    </row>
    <row r="10" spans="1:2" x14ac:dyDescent="0.35">
      <c r="A10" s="5" t="s">
        <v>21</v>
      </c>
      <c r="B10" s="6">
        <v>2992</v>
      </c>
    </row>
    <row r="11" spans="1:2" x14ac:dyDescent="0.35">
      <c r="A11" s="5" t="s">
        <v>22</v>
      </c>
      <c r="B11" s="6">
        <v>4054</v>
      </c>
    </row>
    <row r="12" spans="1:2" x14ac:dyDescent="0.35">
      <c r="A12" s="5" t="s">
        <v>23</v>
      </c>
      <c r="B12" s="6">
        <v>2694</v>
      </c>
    </row>
    <row r="13" spans="1:2" x14ac:dyDescent="0.35">
      <c r="A13" s="5" t="s">
        <v>24</v>
      </c>
      <c r="B13" s="6">
        <v>3582</v>
      </c>
    </row>
    <row r="14" spans="1:2" x14ac:dyDescent="0.35">
      <c r="A14" s="5" t="s">
        <v>25</v>
      </c>
      <c r="B14" s="6">
        <v>3091</v>
      </c>
    </row>
    <row r="15" spans="1:2" x14ac:dyDescent="0.35">
      <c r="A15" s="5" t="s">
        <v>26</v>
      </c>
      <c r="B15" s="6">
        <v>2706</v>
      </c>
    </row>
    <row r="16" spans="1:2" x14ac:dyDescent="0.35">
      <c r="A16" s="5" t="s">
        <v>28</v>
      </c>
      <c r="B16" s="6">
        <v>38473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3CB08-E8B4-4430-8548-6BF762DADD89}">
  <dimension ref="A3:B12"/>
  <sheetViews>
    <sheetView workbookViewId="0">
      <selection activeCell="M10" sqref="M10"/>
    </sheetView>
  </sheetViews>
  <sheetFormatPr defaultRowHeight="14.5" x14ac:dyDescent="0.35"/>
  <cols>
    <col min="1" max="1" width="12.453125" bestFit="1" customWidth="1"/>
    <col min="2" max="2" width="14.36328125" bestFit="1" customWidth="1"/>
  </cols>
  <sheetData>
    <row r="3" spans="1:2" x14ac:dyDescent="0.35">
      <c r="A3" s="4" t="s">
        <v>27</v>
      </c>
      <c r="B3" t="s">
        <v>29</v>
      </c>
    </row>
    <row r="4" spans="1:2" x14ac:dyDescent="0.35">
      <c r="A4" s="5" t="s">
        <v>8</v>
      </c>
      <c r="B4" s="6">
        <v>61618</v>
      </c>
    </row>
    <row r="5" spans="1:2" x14ac:dyDescent="0.35">
      <c r="A5" s="5" t="s">
        <v>10</v>
      </c>
      <c r="B5" s="6">
        <v>61618</v>
      </c>
    </row>
    <row r="6" spans="1:2" x14ac:dyDescent="0.35">
      <c r="A6" s="5" t="s">
        <v>14</v>
      </c>
      <c r="B6" s="6">
        <v>72259</v>
      </c>
    </row>
    <row r="7" spans="1:2" x14ac:dyDescent="0.35">
      <c r="A7" s="5" t="s">
        <v>13</v>
      </c>
      <c r="B7" s="6">
        <v>94726</v>
      </c>
    </row>
    <row r="8" spans="1:2" x14ac:dyDescent="0.35">
      <c r="A8" s="5" t="s">
        <v>9</v>
      </c>
      <c r="B8" s="6">
        <v>106986</v>
      </c>
    </row>
    <row r="9" spans="1:2" x14ac:dyDescent="0.35">
      <c r="A9" s="5" t="s">
        <v>15</v>
      </c>
      <c r="B9" s="6">
        <v>112906</v>
      </c>
    </row>
    <row r="10" spans="1:2" x14ac:dyDescent="0.35">
      <c r="A10" s="5" t="s">
        <v>12</v>
      </c>
      <c r="B10" s="6">
        <v>116358</v>
      </c>
    </row>
    <row r="11" spans="1:2" x14ac:dyDescent="0.35">
      <c r="A11" s="5" t="s">
        <v>11</v>
      </c>
      <c r="B11" s="6">
        <v>119718</v>
      </c>
    </row>
    <row r="12" spans="1:2" x14ac:dyDescent="0.35">
      <c r="A12" s="5" t="s">
        <v>28</v>
      </c>
      <c r="B12" s="6">
        <v>746189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2D10C-3DA0-4675-82F4-A7A8EA86A012}">
  <dimension ref="A3:C12"/>
  <sheetViews>
    <sheetView zoomScale="130" zoomScaleNormal="130" workbookViewId="0">
      <selection activeCell="A6" sqref="A6"/>
    </sheetView>
  </sheetViews>
  <sheetFormatPr defaultRowHeight="14.5" x14ac:dyDescent="0.35"/>
  <cols>
    <col min="1" max="1" width="12.453125" bestFit="1" customWidth="1"/>
    <col min="2" max="2" width="11.54296875" bestFit="1" customWidth="1"/>
    <col min="3" max="3" width="18.90625" bestFit="1" customWidth="1"/>
  </cols>
  <sheetData>
    <row r="3" spans="1:3" x14ac:dyDescent="0.35">
      <c r="A3" s="4" t="s">
        <v>27</v>
      </c>
      <c r="B3" t="s">
        <v>30</v>
      </c>
      <c r="C3" t="s">
        <v>31</v>
      </c>
    </row>
    <row r="4" spans="1:3" x14ac:dyDescent="0.35">
      <c r="A4" s="5" t="s">
        <v>8</v>
      </c>
      <c r="B4" s="6">
        <v>4784</v>
      </c>
      <c r="C4" s="6">
        <v>56261</v>
      </c>
    </row>
    <row r="5" spans="1:3" x14ac:dyDescent="0.35">
      <c r="A5" s="5" t="s">
        <v>9</v>
      </c>
      <c r="B5" s="6">
        <v>5056</v>
      </c>
      <c r="C5" s="6">
        <v>64069</v>
      </c>
    </row>
    <row r="6" spans="1:3" x14ac:dyDescent="0.35">
      <c r="A6" s="5" t="s">
        <v>10</v>
      </c>
      <c r="B6" s="6">
        <v>5152</v>
      </c>
      <c r="C6" s="6">
        <v>59458</v>
      </c>
    </row>
    <row r="7" spans="1:3" x14ac:dyDescent="0.35">
      <c r="A7" s="5" t="s">
        <v>11</v>
      </c>
      <c r="B7" s="6">
        <v>5422</v>
      </c>
      <c r="C7" s="6">
        <v>63690</v>
      </c>
    </row>
    <row r="8" spans="1:3" x14ac:dyDescent="0.35">
      <c r="A8" s="5" t="s">
        <v>12</v>
      </c>
      <c r="B8" s="6">
        <v>4517</v>
      </c>
      <c r="C8" s="6">
        <v>62792</v>
      </c>
    </row>
    <row r="9" spans="1:3" x14ac:dyDescent="0.35">
      <c r="A9" s="5" t="s">
        <v>13</v>
      </c>
      <c r="B9" s="6">
        <v>5419</v>
      </c>
      <c r="C9" s="6">
        <v>60416</v>
      </c>
    </row>
    <row r="10" spans="1:3" x14ac:dyDescent="0.35">
      <c r="A10" s="5" t="s">
        <v>14</v>
      </c>
      <c r="B10" s="6">
        <v>3740</v>
      </c>
      <c r="C10" s="6">
        <v>53276</v>
      </c>
    </row>
    <row r="11" spans="1:3" x14ac:dyDescent="0.35">
      <c r="A11" s="5" t="s">
        <v>15</v>
      </c>
      <c r="B11" s="6">
        <v>4383</v>
      </c>
      <c r="C11" s="6">
        <v>59429</v>
      </c>
    </row>
    <row r="12" spans="1:3" x14ac:dyDescent="0.35">
      <c r="A12" s="5" t="s">
        <v>28</v>
      </c>
      <c r="B12" s="6">
        <v>38473</v>
      </c>
      <c r="C12" s="6">
        <v>479391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6836B-CC4E-4507-AD9F-21BA4BF5B3D7}">
  <dimension ref="A3:C12"/>
  <sheetViews>
    <sheetView workbookViewId="0">
      <selection activeCell="L2" sqref="L2"/>
    </sheetView>
  </sheetViews>
  <sheetFormatPr defaultRowHeight="14.5" x14ac:dyDescent="0.35"/>
  <cols>
    <col min="1" max="1" width="12.453125" bestFit="1" customWidth="1"/>
    <col min="2" max="2" width="18.90625" bestFit="1" customWidth="1"/>
    <col min="3" max="3" width="11.54296875" bestFit="1" customWidth="1"/>
  </cols>
  <sheetData>
    <row r="3" spans="1:3" x14ac:dyDescent="0.35">
      <c r="A3" s="4" t="s">
        <v>27</v>
      </c>
      <c r="B3" t="s">
        <v>31</v>
      </c>
      <c r="C3" t="s">
        <v>30</v>
      </c>
    </row>
    <row r="4" spans="1:3" x14ac:dyDescent="0.35">
      <c r="A4" s="5" t="s">
        <v>14</v>
      </c>
      <c r="B4" s="6">
        <v>53276</v>
      </c>
      <c r="C4" s="6">
        <v>3740</v>
      </c>
    </row>
    <row r="5" spans="1:3" x14ac:dyDescent="0.35">
      <c r="A5" s="5" t="s">
        <v>8</v>
      </c>
      <c r="B5" s="6">
        <v>56261</v>
      </c>
      <c r="C5" s="6">
        <v>4784</v>
      </c>
    </row>
    <row r="6" spans="1:3" x14ac:dyDescent="0.35">
      <c r="A6" s="5" t="s">
        <v>15</v>
      </c>
      <c r="B6" s="6">
        <v>59429</v>
      </c>
      <c r="C6" s="6">
        <v>4383</v>
      </c>
    </row>
    <row r="7" spans="1:3" x14ac:dyDescent="0.35">
      <c r="A7" s="5" t="s">
        <v>10</v>
      </c>
      <c r="B7" s="6">
        <v>59458</v>
      </c>
      <c r="C7" s="6">
        <v>5152</v>
      </c>
    </row>
    <row r="8" spans="1:3" x14ac:dyDescent="0.35">
      <c r="A8" s="5" t="s">
        <v>13</v>
      </c>
      <c r="B8" s="6">
        <v>60416</v>
      </c>
      <c r="C8" s="6">
        <v>5419</v>
      </c>
    </row>
    <row r="9" spans="1:3" x14ac:dyDescent="0.35">
      <c r="A9" s="5" t="s">
        <v>12</v>
      </c>
      <c r="B9" s="6">
        <v>62792</v>
      </c>
      <c r="C9" s="6">
        <v>4517</v>
      </c>
    </row>
    <row r="10" spans="1:3" x14ac:dyDescent="0.35">
      <c r="A10" s="5" t="s">
        <v>11</v>
      </c>
      <c r="B10" s="6">
        <v>63690</v>
      </c>
      <c r="C10" s="6">
        <v>5422</v>
      </c>
    </row>
    <row r="11" spans="1:3" x14ac:dyDescent="0.35">
      <c r="A11" s="5" t="s">
        <v>9</v>
      </c>
      <c r="B11" s="6">
        <v>64069</v>
      </c>
      <c r="C11" s="6">
        <v>5056</v>
      </c>
    </row>
    <row r="12" spans="1:3" x14ac:dyDescent="0.35">
      <c r="A12" s="5" t="s">
        <v>28</v>
      </c>
      <c r="B12" s="6">
        <v>479391</v>
      </c>
      <c r="C12" s="6">
        <v>38473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CAF5-A176-4926-BC39-4A89D9DB460B}">
  <dimension ref="A3:B12"/>
  <sheetViews>
    <sheetView workbookViewId="0">
      <selection activeCell="C22" sqref="C22:C23"/>
    </sheetView>
  </sheetViews>
  <sheetFormatPr defaultRowHeight="14.5" x14ac:dyDescent="0.35"/>
  <cols>
    <col min="1" max="1" width="12.453125" bestFit="1" customWidth="1"/>
    <col min="2" max="3" width="24.6328125" bestFit="1" customWidth="1"/>
  </cols>
  <sheetData>
    <row r="3" spans="1:2" x14ac:dyDescent="0.35">
      <c r="A3" s="4" t="s">
        <v>27</v>
      </c>
      <c r="B3" t="s">
        <v>39</v>
      </c>
    </row>
    <row r="4" spans="1:2" x14ac:dyDescent="0.35">
      <c r="A4" s="5" t="s">
        <v>8</v>
      </c>
      <c r="B4" s="6">
        <v>6250</v>
      </c>
    </row>
    <row r="5" spans="1:2" x14ac:dyDescent="0.35">
      <c r="A5" s="5" t="s">
        <v>9</v>
      </c>
      <c r="B5" s="6">
        <v>6186</v>
      </c>
    </row>
    <row r="6" spans="1:2" x14ac:dyDescent="0.35">
      <c r="A6" s="5" t="s">
        <v>10</v>
      </c>
      <c r="B6" s="6">
        <v>5132</v>
      </c>
    </row>
    <row r="7" spans="1:2" x14ac:dyDescent="0.35">
      <c r="A7" s="5" t="s">
        <v>11</v>
      </c>
      <c r="B7" s="6">
        <v>6107</v>
      </c>
    </row>
    <row r="8" spans="1:2" x14ac:dyDescent="0.35">
      <c r="A8" s="5" t="s">
        <v>12</v>
      </c>
      <c r="B8" s="6">
        <v>6321</v>
      </c>
    </row>
    <row r="9" spans="1:2" x14ac:dyDescent="0.35">
      <c r="A9" s="5" t="s">
        <v>13</v>
      </c>
      <c r="B9" s="6">
        <v>5961</v>
      </c>
    </row>
    <row r="10" spans="1:2" x14ac:dyDescent="0.35">
      <c r="A10" s="5" t="s">
        <v>14</v>
      </c>
      <c r="B10" s="6">
        <v>6009</v>
      </c>
    </row>
    <row r="11" spans="1:2" x14ac:dyDescent="0.35">
      <c r="A11" s="5" t="s">
        <v>15</v>
      </c>
      <c r="B11" s="6">
        <v>6207</v>
      </c>
    </row>
    <row r="12" spans="1:2" x14ac:dyDescent="0.35">
      <c r="A12" s="5" t="s">
        <v>28</v>
      </c>
      <c r="B12" s="6">
        <v>48173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CF6A8-1A5A-4C4D-8759-0EE1A21DD728}">
  <sheetPr codeName="Sheet1">
    <tabColor rgb="FFFFFF00"/>
  </sheetPr>
  <dimension ref="A1:O97"/>
  <sheetViews>
    <sheetView topLeftCell="A2" workbookViewId="0">
      <selection activeCell="D20" sqref="D20"/>
    </sheetView>
  </sheetViews>
  <sheetFormatPr defaultRowHeight="17" customHeight="1" x14ac:dyDescent="0.35"/>
  <cols>
    <col min="1" max="1" width="12.36328125" customWidth="1"/>
    <col min="2" max="2" width="9.81640625" customWidth="1"/>
    <col min="3" max="3" width="10.81640625" customWidth="1"/>
    <col min="4" max="4" width="14.08984375" customWidth="1"/>
    <col min="5" max="5" width="20.453125" customWidth="1"/>
    <col min="7" max="7" width="10" customWidth="1"/>
    <col min="8" max="8" width="18" customWidth="1"/>
    <col min="9" max="9" width="9.54296875" customWidth="1"/>
    <col min="12" max="12" width="44.1796875" customWidth="1"/>
  </cols>
  <sheetData>
    <row r="1" spans="1:15" ht="17" customHeight="1" x14ac:dyDescent="0.35">
      <c r="A1" s="14" t="s">
        <v>0</v>
      </c>
      <c r="B1" s="15" t="s">
        <v>1</v>
      </c>
      <c r="C1" s="15" t="s">
        <v>32</v>
      </c>
      <c r="D1" s="15" t="s">
        <v>2</v>
      </c>
      <c r="E1" s="15" t="s">
        <v>3</v>
      </c>
      <c r="F1" s="15" t="s">
        <v>4</v>
      </c>
      <c r="G1" s="15" t="s">
        <v>5</v>
      </c>
      <c r="H1" s="16" t="s">
        <v>6</v>
      </c>
      <c r="I1" s="17" t="s">
        <v>33</v>
      </c>
    </row>
    <row r="2" spans="1:15" ht="17" customHeight="1" x14ac:dyDescent="0.35">
      <c r="A2" s="7" t="s">
        <v>7</v>
      </c>
      <c r="B2" s="1" t="s">
        <v>8</v>
      </c>
      <c r="C2" s="1" t="s">
        <v>36</v>
      </c>
      <c r="D2" s="1">
        <v>3092</v>
      </c>
      <c r="E2" s="1">
        <v>603</v>
      </c>
      <c r="F2" s="1">
        <v>634</v>
      </c>
      <c r="G2" s="2">
        <v>8166</v>
      </c>
      <c r="H2" s="12">
        <v>1864476</v>
      </c>
      <c r="I2" s="13" t="s">
        <v>34</v>
      </c>
    </row>
    <row r="3" spans="1:15" ht="17" customHeight="1" x14ac:dyDescent="0.35">
      <c r="A3" s="7" t="s">
        <v>7</v>
      </c>
      <c r="B3" s="1" t="s">
        <v>9</v>
      </c>
      <c r="C3" s="1" t="s">
        <v>35</v>
      </c>
      <c r="D3" s="1">
        <v>4182</v>
      </c>
      <c r="E3" s="1">
        <v>592</v>
      </c>
      <c r="F3" s="1">
        <v>123</v>
      </c>
      <c r="G3" s="2">
        <v>2603</v>
      </c>
      <c r="H3" s="12">
        <v>2475744</v>
      </c>
      <c r="I3" s="13" t="s">
        <v>34</v>
      </c>
    </row>
    <row r="4" spans="1:15" ht="17" customHeight="1" x14ac:dyDescent="0.35">
      <c r="A4" s="7" t="s">
        <v>7</v>
      </c>
      <c r="B4" s="1" t="s">
        <v>10</v>
      </c>
      <c r="C4" s="1" t="s">
        <v>35</v>
      </c>
      <c r="D4" s="1">
        <v>3682</v>
      </c>
      <c r="E4" s="1">
        <v>405</v>
      </c>
      <c r="F4" s="1">
        <v>692</v>
      </c>
      <c r="G4" s="2">
        <v>8276</v>
      </c>
      <c r="H4" s="12">
        <v>1491210</v>
      </c>
      <c r="I4" s="13" t="s">
        <v>34</v>
      </c>
      <c r="K4" s="3"/>
      <c r="L4" s="3"/>
      <c r="M4" s="3"/>
      <c r="N4" s="3"/>
      <c r="O4" s="3"/>
    </row>
    <row r="5" spans="1:15" ht="17" customHeight="1" x14ac:dyDescent="0.35">
      <c r="A5" s="7" t="s">
        <v>7</v>
      </c>
      <c r="B5" s="1" t="s">
        <v>11</v>
      </c>
      <c r="C5" s="1" t="s">
        <v>37</v>
      </c>
      <c r="D5" s="1">
        <v>5759</v>
      </c>
      <c r="E5" s="1">
        <v>589</v>
      </c>
      <c r="F5" s="1">
        <v>284</v>
      </c>
      <c r="G5" s="2">
        <v>6271</v>
      </c>
      <c r="H5" s="12">
        <v>3392051</v>
      </c>
      <c r="I5" s="13" t="s">
        <v>34</v>
      </c>
      <c r="K5" s="3"/>
      <c r="L5" s="3"/>
      <c r="M5" s="3"/>
      <c r="N5" s="3"/>
      <c r="O5" s="3"/>
    </row>
    <row r="6" spans="1:15" ht="17" customHeight="1" x14ac:dyDescent="0.35">
      <c r="A6" s="7" t="s">
        <v>7</v>
      </c>
      <c r="B6" s="1" t="s">
        <v>12</v>
      </c>
      <c r="C6" s="1" t="s">
        <v>37</v>
      </c>
      <c r="D6" s="1">
        <v>4919</v>
      </c>
      <c r="E6" s="1">
        <v>671</v>
      </c>
      <c r="F6" s="1">
        <v>186</v>
      </c>
      <c r="G6" s="2">
        <v>4791</v>
      </c>
      <c r="H6" s="12">
        <v>3300649</v>
      </c>
      <c r="I6" s="13" t="s">
        <v>34</v>
      </c>
      <c r="K6" s="3"/>
      <c r="L6" s="3"/>
      <c r="M6" s="3"/>
      <c r="N6" s="3"/>
      <c r="O6" s="3"/>
    </row>
    <row r="7" spans="1:15" ht="17" customHeight="1" x14ac:dyDescent="0.35">
      <c r="A7" s="7" t="s">
        <v>7</v>
      </c>
      <c r="B7" s="1" t="s">
        <v>13</v>
      </c>
      <c r="C7" s="1" t="s">
        <v>37</v>
      </c>
      <c r="D7" s="1">
        <v>6050</v>
      </c>
      <c r="E7" s="1">
        <v>472</v>
      </c>
      <c r="F7" s="1">
        <v>688</v>
      </c>
      <c r="G7" s="2">
        <v>12026</v>
      </c>
      <c r="H7" s="12">
        <v>2855600</v>
      </c>
      <c r="I7" s="13" t="s">
        <v>34</v>
      </c>
      <c r="K7" s="3"/>
      <c r="L7" s="3"/>
      <c r="M7" s="3"/>
      <c r="N7" s="3"/>
      <c r="O7" s="3"/>
    </row>
    <row r="8" spans="1:15" ht="17" customHeight="1" x14ac:dyDescent="0.35">
      <c r="A8" s="7" t="s">
        <v>7</v>
      </c>
      <c r="B8" s="1" t="s">
        <v>14</v>
      </c>
      <c r="C8" s="1" t="s">
        <v>36</v>
      </c>
      <c r="D8" s="1">
        <v>6224</v>
      </c>
      <c r="E8" s="1">
        <v>467</v>
      </c>
      <c r="F8" s="1">
        <v>478</v>
      </c>
      <c r="G8" s="2">
        <v>9235</v>
      </c>
      <c r="H8" s="12">
        <v>2906608</v>
      </c>
      <c r="I8" s="13" t="s">
        <v>34</v>
      </c>
      <c r="K8" s="3"/>
      <c r="L8" s="3"/>
      <c r="M8" s="3"/>
      <c r="N8" s="3"/>
      <c r="O8" s="3"/>
    </row>
    <row r="9" spans="1:15" ht="17" customHeight="1" x14ac:dyDescent="0.35">
      <c r="A9" s="7" t="s">
        <v>7</v>
      </c>
      <c r="B9" s="1" t="s">
        <v>15</v>
      </c>
      <c r="C9" s="1" t="s">
        <v>35</v>
      </c>
      <c r="D9" s="1">
        <v>5223</v>
      </c>
      <c r="E9" s="1">
        <v>569</v>
      </c>
      <c r="F9" s="1">
        <v>209</v>
      </c>
      <c r="G9" s="2">
        <v>5384</v>
      </c>
      <c r="H9" s="12">
        <v>2971887</v>
      </c>
      <c r="I9" s="13" t="s">
        <v>34</v>
      </c>
      <c r="K9" s="3"/>
      <c r="L9" s="3"/>
      <c r="M9" s="3"/>
      <c r="N9" s="3"/>
      <c r="O9" s="3"/>
    </row>
    <row r="10" spans="1:15" ht="17" customHeight="1" x14ac:dyDescent="0.35">
      <c r="A10" s="7" t="s">
        <v>16</v>
      </c>
      <c r="B10" s="1" t="s">
        <v>8</v>
      </c>
      <c r="C10" s="1" t="s">
        <v>36</v>
      </c>
      <c r="D10" s="1">
        <v>6859</v>
      </c>
      <c r="E10" s="1">
        <v>591</v>
      </c>
      <c r="F10" s="1">
        <v>393</v>
      </c>
      <c r="G10" s="2">
        <v>5062</v>
      </c>
      <c r="H10" s="12">
        <v>4053669</v>
      </c>
      <c r="I10" s="13" t="s">
        <v>34</v>
      </c>
      <c r="K10" s="3"/>
      <c r="L10" s="3"/>
      <c r="M10" s="3"/>
      <c r="N10" s="3"/>
      <c r="O10" s="3"/>
    </row>
    <row r="11" spans="1:15" ht="17" customHeight="1" x14ac:dyDescent="0.35">
      <c r="A11" s="7" t="s">
        <v>16</v>
      </c>
      <c r="B11" s="1" t="s">
        <v>9</v>
      </c>
      <c r="C11" s="1" t="s">
        <v>37</v>
      </c>
      <c r="D11" s="1">
        <v>5683</v>
      </c>
      <c r="E11" s="1">
        <v>669</v>
      </c>
      <c r="F11" s="1">
        <v>508</v>
      </c>
      <c r="G11" s="2">
        <v>10749</v>
      </c>
      <c r="H11" s="12">
        <v>3801927</v>
      </c>
      <c r="I11" s="13" t="s">
        <v>34</v>
      </c>
    </row>
    <row r="12" spans="1:15" ht="17" customHeight="1" x14ac:dyDescent="0.35">
      <c r="A12" s="7" t="s">
        <v>16</v>
      </c>
      <c r="B12" s="1" t="s">
        <v>10</v>
      </c>
      <c r="C12" s="1" t="s">
        <v>35</v>
      </c>
      <c r="D12" s="1">
        <v>3771</v>
      </c>
      <c r="E12" s="1">
        <v>332</v>
      </c>
      <c r="F12" s="1">
        <v>169</v>
      </c>
      <c r="G12" s="2">
        <v>2021</v>
      </c>
      <c r="H12" s="12">
        <v>1251972</v>
      </c>
      <c r="I12" s="13" t="s">
        <v>34</v>
      </c>
    </row>
    <row r="13" spans="1:15" ht="17" customHeight="1" x14ac:dyDescent="0.35">
      <c r="A13" s="7" t="s">
        <v>16</v>
      </c>
      <c r="B13" s="1" t="s">
        <v>11</v>
      </c>
      <c r="C13" s="1" t="s">
        <v>38</v>
      </c>
      <c r="D13" s="1">
        <v>3305</v>
      </c>
      <c r="E13" s="1">
        <v>350</v>
      </c>
      <c r="F13" s="1">
        <v>616</v>
      </c>
      <c r="G13" s="2">
        <v>13601</v>
      </c>
      <c r="H13" s="12">
        <v>1156750</v>
      </c>
      <c r="I13" s="13" t="s">
        <v>34</v>
      </c>
    </row>
    <row r="14" spans="1:15" ht="17" customHeight="1" x14ac:dyDescent="0.35">
      <c r="A14" s="7" t="s">
        <v>16</v>
      </c>
      <c r="B14" s="1" t="s">
        <v>12</v>
      </c>
      <c r="C14" s="1" t="s">
        <v>38</v>
      </c>
      <c r="D14" s="1">
        <v>6440</v>
      </c>
      <c r="E14" s="1">
        <v>572</v>
      </c>
      <c r="F14" s="1">
        <v>625</v>
      </c>
      <c r="G14" s="2">
        <v>16100</v>
      </c>
      <c r="H14" s="12">
        <v>3683680</v>
      </c>
      <c r="I14" s="13" t="s">
        <v>34</v>
      </c>
    </row>
    <row r="15" spans="1:15" ht="17" customHeight="1" x14ac:dyDescent="0.35">
      <c r="A15" s="7" t="s">
        <v>16</v>
      </c>
      <c r="B15" s="1" t="s">
        <v>13</v>
      </c>
      <c r="C15" s="1" t="s">
        <v>35</v>
      </c>
      <c r="D15" s="1">
        <v>5869</v>
      </c>
      <c r="E15" s="1">
        <v>525</v>
      </c>
      <c r="F15" s="1">
        <v>627</v>
      </c>
      <c r="G15" s="2">
        <v>10960</v>
      </c>
      <c r="H15" s="12">
        <v>3081225</v>
      </c>
      <c r="I15" s="13" t="s">
        <v>34</v>
      </c>
    </row>
    <row r="16" spans="1:15" ht="17" customHeight="1" x14ac:dyDescent="0.35">
      <c r="A16" s="7" t="s">
        <v>16</v>
      </c>
      <c r="B16" s="1" t="s">
        <v>14</v>
      </c>
      <c r="C16" s="1" t="s">
        <v>38</v>
      </c>
      <c r="D16" s="1">
        <v>3141</v>
      </c>
      <c r="E16" s="1">
        <v>618</v>
      </c>
      <c r="F16" s="1">
        <v>612</v>
      </c>
      <c r="G16" s="2">
        <v>11824</v>
      </c>
      <c r="H16" s="12">
        <v>1941138</v>
      </c>
      <c r="I16" s="13" t="s">
        <v>34</v>
      </c>
    </row>
    <row r="17" spans="1:9" ht="17" customHeight="1" x14ac:dyDescent="0.35">
      <c r="A17" s="7" t="s">
        <v>16</v>
      </c>
      <c r="B17" s="1" t="s">
        <v>15</v>
      </c>
      <c r="C17" s="1" t="s">
        <v>38</v>
      </c>
      <c r="D17" s="1">
        <v>5035</v>
      </c>
      <c r="E17" s="1">
        <v>474</v>
      </c>
      <c r="F17" s="1">
        <v>537</v>
      </c>
      <c r="G17" s="2">
        <v>13833</v>
      </c>
      <c r="H17" s="12">
        <v>2386590</v>
      </c>
      <c r="I17" s="13" t="s">
        <v>34</v>
      </c>
    </row>
    <row r="18" spans="1:9" ht="17" customHeight="1" x14ac:dyDescent="0.35">
      <c r="A18" s="7" t="s">
        <v>17</v>
      </c>
      <c r="B18" s="1" t="s">
        <v>8</v>
      </c>
      <c r="C18" s="1" t="s">
        <v>38</v>
      </c>
      <c r="D18" s="1">
        <v>5339</v>
      </c>
      <c r="E18" s="1">
        <v>462</v>
      </c>
      <c r="F18" s="1">
        <v>226</v>
      </c>
      <c r="G18" s="2">
        <v>2911</v>
      </c>
      <c r="H18" s="12">
        <v>2466618</v>
      </c>
      <c r="I18" s="13" t="s">
        <v>34</v>
      </c>
    </row>
    <row r="19" spans="1:9" ht="17" customHeight="1" x14ac:dyDescent="0.35">
      <c r="A19" s="7" t="s">
        <v>17</v>
      </c>
      <c r="B19" s="1" t="s">
        <v>9</v>
      </c>
      <c r="C19" s="1" t="s">
        <v>37</v>
      </c>
      <c r="D19" s="1">
        <v>6729</v>
      </c>
      <c r="E19" s="1">
        <v>531</v>
      </c>
      <c r="F19" s="1">
        <v>608</v>
      </c>
      <c r="G19" s="2">
        <v>12865</v>
      </c>
      <c r="H19" s="12">
        <v>3573099</v>
      </c>
      <c r="I19" s="13" t="s">
        <v>34</v>
      </c>
    </row>
    <row r="20" spans="1:9" ht="17" customHeight="1" x14ac:dyDescent="0.35">
      <c r="A20" s="7" t="s">
        <v>17</v>
      </c>
      <c r="B20" s="1" t="s">
        <v>10</v>
      </c>
      <c r="C20" s="1" t="s">
        <v>37</v>
      </c>
      <c r="D20" s="1">
        <v>5824</v>
      </c>
      <c r="E20" s="1">
        <v>373</v>
      </c>
      <c r="F20" s="1">
        <v>410</v>
      </c>
      <c r="G20" s="2">
        <v>4904</v>
      </c>
      <c r="H20" s="12">
        <v>2172352</v>
      </c>
      <c r="I20" s="13" t="s">
        <v>34</v>
      </c>
    </row>
    <row r="21" spans="1:9" ht="17" customHeight="1" x14ac:dyDescent="0.35">
      <c r="A21" s="7" t="s">
        <v>17</v>
      </c>
      <c r="B21" s="1" t="s">
        <v>11</v>
      </c>
      <c r="C21" s="1" t="s">
        <v>35</v>
      </c>
      <c r="D21" s="1">
        <v>5856</v>
      </c>
      <c r="E21" s="1">
        <v>385</v>
      </c>
      <c r="F21" s="1">
        <v>241</v>
      </c>
      <c r="G21" s="2">
        <v>5321</v>
      </c>
      <c r="H21" s="12">
        <v>2254560</v>
      </c>
      <c r="I21" s="13" t="s">
        <v>34</v>
      </c>
    </row>
    <row r="22" spans="1:9" ht="17" customHeight="1" x14ac:dyDescent="0.35">
      <c r="A22" s="7" t="s">
        <v>17</v>
      </c>
      <c r="B22" s="1" t="s">
        <v>12</v>
      </c>
      <c r="C22" s="1" t="s">
        <v>36</v>
      </c>
      <c r="D22" s="1">
        <v>6048</v>
      </c>
      <c r="E22" s="1">
        <v>405</v>
      </c>
      <c r="F22" s="1">
        <v>653</v>
      </c>
      <c r="G22" s="2">
        <v>16821</v>
      </c>
      <c r="H22" s="12">
        <v>2449440</v>
      </c>
      <c r="I22" s="13" t="s">
        <v>34</v>
      </c>
    </row>
    <row r="23" spans="1:9" ht="17" customHeight="1" x14ac:dyDescent="0.35">
      <c r="A23" s="7" t="s">
        <v>17</v>
      </c>
      <c r="B23" s="1" t="s">
        <v>13</v>
      </c>
      <c r="C23" s="1" t="s">
        <v>35</v>
      </c>
      <c r="D23" s="1">
        <v>4335</v>
      </c>
      <c r="E23" s="1">
        <v>630</v>
      </c>
      <c r="F23" s="1">
        <v>622</v>
      </c>
      <c r="G23" s="2">
        <v>10873</v>
      </c>
      <c r="H23" s="12">
        <v>2731050</v>
      </c>
      <c r="I23" s="13" t="s">
        <v>34</v>
      </c>
    </row>
    <row r="24" spans="1:9" ht="17" customHeight="1" x14ac:dyDescent="0.35">
      <c r="A24" s="7" t="s">
        <v>17</v>
      </c>
      <c r="B24" s="1" t="s">
        <v>14</v>
      </c>
      <c r="C24" s="1" t="s">
        <v>36</v>
      </c>
      <c r="D24" s="1">
        <v>4003</v>
      </c>
      <c r="E24" s="1">
        <v>564</v>
      </c>
      <c r="F24" s="1">
        <v>115</v>
      </c>
      <c r="G24" s="2">
        <v>2222</v>
      </c>
      <c r="H24" s="12">
        <v>2257692</v>
      </c>
      <c r="I24" s="13" t="s">
        <v>34</v>
      </c>
    </row>
    <row r="25" spans="1:9" ht="17" customHeight="1" x14ac:dyDescent="0.35">
      <c r="A25" s="7" t="s">
        <v>17</v>
      </c>
      <c r="B25" s="1" t="s">
        <v>15</v>
      </c>
      <c r="C25" s="1" t="s">
        <v>37</v>
      </c>
      <c r="D25" s="1">
        <v>3007</v>
      </c>
      <c r="E25" s="1">
        <v>639</v>
      </c>
      <c r="F25" s="1">
        <v>205</v>
      </c>
      <c r="G25" s="2">
        <v>5281</v>
      </c>
      <c r="H25" s="12">
        <v>1921473</v>
      </c>
      <c r="I25" s="13" t="s">
        <v>34</v>
      </c>
    </row>
    <row r="26" spans="1:9" ht="17" customHeight="1" x14ac:dyDescent="0.35">
      <c r="A26" s="7" t="s">
        <v>18</v>
      </c>
      <c r="B26" s="1" t="s">
        <v>8</v>
      </c>
      <c r="C26" s="1" t="s">
        <v>37</v>
      </c>
      <c r="D26" s="1">
        <v>4582</v>
      </c>
      <c r="E26" s="1">
        <v>513</v>
      </c>
      <c r="F26" s="1">
        <v>301</v>
      </c>
      <c r="G26" s="2">
        <v>3877</v>
      </c>
      <c r="H26" s="12">
        <v>2350566</v>
      </c>
      <c r="I26" s="13" t="s">
        <v>34</v>
      </c>
    </row>
    <row r="27" spans="1:9" ht="17" customHeight="1" x14ac:dyDescent="0.35">
      <c r="A27" s="7" t="s">
        <v>18</v>
      </c>
      <c r="B27" s="1" t="s">
        <v>9</v>
      </c>
      <c r="C27" s="1" t="s">
        <v>38</v>
      </c>
      <c r="D27" s="1">
        <v>6769</v>
      </c>
      <c r="E27" s="1">
        <v>314</v>
      </c>
      <c r="F27" s="1">
        <v>201</v>
      </c>
      <c r="G27" s="2">
        <v>4253</v>
      </c>
      <c r="H27" s="12">
        <v>2125466</v>
      </c>
      <c r="I27" s="13" t="s">
        <v>34</v>
      </c>
    </row>
    <row r="28" spans="1:9" ht="17" customHeight="1" x14ac:dyDescent="0.35">
      <c r="A28" s="7" t="s">
        <v>18</v>
      </c>
      <c r="B28" s="1" t="s">
        <v>10</v>
      </c>
      <c r="C28" s="1" t="s">
        <v>37</v>
      </c>
      <c r="D28" s="1">
        <v>3777</v>
      </c>
      <c r="E28" s="1">
        <v>547</v>
      </c>
      <c r="F28" s="1">
        <v>496</v>
      </c>
      <c r="G28" s="2">
        <v>5932</v>
      </c>
      <c r="H28" s="12">
        <v>2066019</v>
      </c>
      <c r="I28" s="13" t="s">
        <v>34</v>
      </c>
    </row>
    <row r="29" spans="1:9" ht="17" customHeight="1" x14ac:dyDescent="0.35">
      <c r="A29" s="7" t="s">
        <v>18</v>
      </c>
      <c r="B29" s="1" t="s">
        <v>11</v>
      </c>
      <c r="C29" s="1" t="s">
        <v>36</v>
      </c>
      <c r="D29" s="1">
        <v>5990</v>
      </c>
      <c r="E29" s="1">
        <v>498</v>
      </c>
      <c r="F29" s="1">
        <v>460</v>
      </c>
      <c r="G29" s="2">
        <v>10157</v>
      </c>
      <c r="H29" s="12">
        <v>2983020</v>
      </c>
      <c r="I29" s="13" t="s">
        <v>34</v>
      </c>
    </row>
    <row r="30" spans="1:9" ht="17" customHeight="1" x14ac:dyDescent="0.35">
      <c r="A30" s="7" t="s">
        <v>18</v>
      </c>
      <c r="B30" s="1" t="s">
        <v>12</v>
      </c>
      <c r="C30" s="1" t="s">
        <v>36</v>
      </c>
      <c r="D30" s="1">
        <v>5441</v>
      </c>
      <c r="E30" s="1">
        <v>667</v>
      </c>
      <c r="F30" s="1">
        <v>565</v>
      </c>
      <c r="G30" s="2">
        <v>14554</v>
      </c>
      <c r="H30" s="12">
        <v>3629147</v>
      </c>
      <c r="I30" s="13" t="s">
        <v>34</v>
      </c>
    </row>
    <row r="31" spans="1:9" ht="17" customHeight="1" x14ac:dyDescent="0.35">
      <c r="A31" s="7" t="s">
        <v>18</v>
      </c>
      <c r="B31" s="1" t="s">
        <v>13</v>
      </c>
      <c r="C31" s="1" t="s">
        <v>37</v>
      </c>
      <c r="D31" s="1">
        <v>3155</v>
      </c>
      <c r="E31" s="1">
        <v>413</v>
      </c>
      <c r="F31" s="1">
        <v>574</v>
      </c>
      <c r="G31" s="2">
        <v>10034</v>
      </c>
      <c r="H31" s="12">
        <v>1303015</v>
      </c>
      <c r="I31" s="13" t="s">
        <v>34</v>
      </c>
    </row>
    <row r="32" spans="1:9" ht="17" customHeight="1" x14ac:dyDescent="0.35">
      <c r="A32" s="7" t="s">
        <v>18</v>
      </c>
      <c r="B32" s="1" t="s">
        <v>14</v>
      </c>
      <c r="C32" s="1" t="s">
        <v>37</v>
      </c>
      <c r="D32" s="1">
        <v>5079</v>
      </c>
      <c r="E32" s="1">
        <v>537</v>
      </c>
      <c r="F32" s="1">
        <v>252</v>
      </c>
      <c r="G32" s="2">
        <v>4869</v>
      </c>
      <c r="H32" s="12">
        <v>2727423</v>
      </c>
      <c r="I32" s="13" t="s">
        <v>34</v>
      </c>
    </row>
    <row r="33" spans="1:9" ht="17" customHeight="1" x14ac:dyDescent="0.35">
      <c r="A33" s="7" t="s">
        <v>18</v>
      </c>
      <c r="B33" s="1" t="s">
        <v>15</v>
      </c>
      <c r="C33" s="1" t="s">
        <v>36</v>
      </c>
      <c r="D33" s="1">
        <v>6203</v>
      </c>
      <c r="E33" s="1">
        <v>556</v>
      </c>
      <c r="F33" s="1">
        <v>447</v>
      </c>
      <c r="G33" s="2">
        <v>11515</v>
      </c>
      <c r="H33" s="12">
        <v>3448868</v>
      </c>
      <c r="I33" s="13" t="s">
        <v>34</v>
      </c>
    </row>
    <row r="34" spans="1:9" ht="17" customHeight="1" x14ac:dyDescent="0.35">
      <c r="A34" s="7" t="s">
        <v>19</v>
      </c>
      <c r="B34" s="1" t="s">
        <v>8</v>
      </c>
      <c r="C34" s="1" t="s">
        <v>35</v>
      </c>
      <c r="D34" s="1">
        <v>6793</v>
      </c>
      <c r="E34" s="1">
        <v>648</v>
      </c>
      <c r="F34" s="1">
        <v>548</v>
      </c>
      <c r="G34" s="2">
        <v>7058</v>
      </c>
      <c r="H34" s="12">
        <v>4401864</v>
      </c>
      <c r="I34" s="13" t="s">
        <v>34</v>
      </c>
    </row>
    <row r="35" spans="1:9" ht="17" customHeight="1" x14ac:dyDescent="0.35">
      <c r="A35" s="7" t="s">
        <v>19</v>
      </c>
      <c r="B35" s="1" t="s">
        <v>9</v>
      </c>
      <c r="C35" s="1" t="s">
        <v>37</v>
      </c>
      <c r="D35" s="1">
        <v>5177</v>
      </c>
      <c r="E35" s="1">
        <v>454</v>
      </c>
      <c r="F35" s="1">
        <v>424</v>
      </c>
      <c r="G35" s="2">
        <v>8972</v>
      </c>
      <c r="H35" s="12">
        <v>2350358</v>
      </c>
      <c r="I35" s="13" t="s">
        <v>34</v>
      </c>
    </row>
    <row r="36" spans="1:9" ht="17" customHeight="1" x14ac:dyDescent="0.35">
      <c r="A36" s="7" t="s">
        <v>19</v>
      </c>
      <c r="B36" s="1" t="s">
        <v>10</v>
      </c>
      <c r="C36" s="1" t="s">
        <v>37</v>
      </c>
      <c r="D36" s="1">
        <v>3800</v>
      </c>
      <c r="E36" s="1">
        <v>367</v>
      </c>
      <c r="F36" s="1">
        <v>251</v>
      </c>
      <c r="G36" s="2">
        <v>3002</v>
      </c>
      <c r="H36" s="12">
        <v>1394600</v>
      </c>
      <c r="I36" s="13" t="s">
        <v>34</v>
      </c>
    </row>
    <row r="37" spans="1:9" ht="17" customHeight="1" x14ac:dyDescent="0.35">
      <c r="A37" s="7" t="s">
        <v>19</v>
      </c>
      <c r="B37" s="1" t="s">
        <v>11</v>
      </c>
      <c r="C37" s="1" t="s">
        <v>35</v>
      </c>
      <c r="D37" s="1">
        <v>6132</v>
      </c>
      <c r="E37" s="1">
        <v>376</v>
      </c>
      <c r="F37" s="1">
        <v>423</v>
      </c>
      <c r="G37" s="2">
        <v>9340</v>
      </c>
      <c r="H37" s="12">
        <v>2305632</v>
      </c>
      <c r="I37" s="13" t="s">
        <v>34</v>
      </c>
    </row>
    <row r="38" spans="1:9" ht="17" customHeight="1" x14ac:dyDescent="0.35">
      <c r="A38" s="7" t="s">
        <v>19</v>
      </c>
      <c r="B38" s="1" t="s">
        <v>12</v>
      </c>
      <c r="C38" s="1" t="s">
        <v>35</v>
      </c>
      <c r="D38" s="1">
        <v>3210</v>
      </c>
      <c r="E38" s="1">
        <v>700</v>
      </c>
      <c r="F38" s="1">
        <v>312</v>
      </c>
      <c r="G38" s="2">
        <v>8037</v>
      </c>
      <c r="H38" s="12">
        <v>2247000</v>
      </c>
      <c r="I38" s="13" t="s">
        <v>34</v>
      </c>
    </row>
    <row r="39" spans="1:9" ht="17" customHeight="1" x14ac:dyDescent="0.35">
      <c r="A39" s="7" t="s">
        <v>19</v>
      </c>
      <c r="B39" s="1" t="s">
        <v>13</v>
      </c>
      <c r="C39" s="1" t="s">
        <v>36</v>
      </c>
      <c r="D39" s="1">
        <v>4511</v>
      </c>
      <c r="E39" s="1">
        <v>394</v>
      </c>
      <c r="F39" s="1">
        <v>160</v>
      </c>
      <c r="G39" s="2">
        <v>2797</v>
      </c>
      <c r="H39" s="12">
        <v>1777334</v>
      </c>
      <c r="I39" s="13" t="s">
        <v>34</v>
      </c>
    </row>
    <row r="40" spans="1:9" ht="17" customHeight="1" x14ac:dyDescent="0.35">
      <c r="A40" s="7" t="s">
        <v>19</v>
      </c>
      <c r="B40" s="1" t="s">
        <v>14</v>
      </c>
      <c r="C40" s="1" t="s">
        <v>35</v>
      </c>
      <c r="D40" s="1">
        <v>5614</v>
      </c>
      <c r="E40" s="1">
        <v>352</v>
      </c>
      <c r="F40" s="1">
        <v>439</v>
      </c>
      <c r="G40" s="2">
        <v>8481</v>
      </c>
      <c r="H40" s="12">
        <v>1976128</v>
      </c>
      <c r="I40" s="13" t="s">
        <v>34</v>
      </c>
    </row>
    <row r="41" spans="1:9" ht="17" customHeight="1" x14ac:dyDescent="0.35">
      <c r="A41" s="7" t="s">
        <v>19</v>
      </c>
      <c r="B41" s="1" t="s">
        <v>15</v>
      </c>
      <c r="C41" s="1" t="s">
        <v>37</v>
      </c>
      <c r="D41" s="1">
        <v>3944</v>
      </c>
      <c r="E41" s="1">
        <v>501</v>
      </c>
      <c r="F41" s="1">
        <v>200</v>
      </c>
      <c r="G41" s="2">
        <v>5152</v>
      </c>
      <c r="H41" s="12">
        <v>1975944</v>
      </c>
      <c r="I41" s="13" t="s">
        <v>34</v>
      </c>
    </row>
    <row r="42" spans="1:9" ht="17" customHeight="1" x14ac:dyDescent="0.35">
      <c r="A42" s="7" t="s">
        <v>20</v>
      </c>
      <c r="B42" s="1" t="s">
        <v>8</v>
      </c>
      <c r="C42" s="1" t="s">
        <v>36</v>
      </c>
      <c r="D42" s="1">
        <v>4032</v>
      </c>
      <c r="E42" s="1">
        <v>664</v>
      </c>
      <c r="F42" s="1">
        <v>187</v>
      </c>
      <c r="G42" s="2">
        <v>2409</v>
      </c>
      <c r="H42" s="12">
        <v>2677248</v>
      </c>
      <c r="I42" s="13" t="s">
        <v>34</v>
      </c>
    </row>
    <row r="43" spans="1:9" ht="17" customHeight="1" x14ac:dyDescent="0.35">
      <c r="A43" s="7" t="s">
        <v>20</v>
      </c>
      <c r="B43" s="1" t="s">
        <v>9</v>
      </c>
      <c r="C43" s="1" t="s">
        <v>38</v>
      </c>
      <c r="D43" s="1">
        <v>3115</v>
      </c>
      <c r="E43" s="1">
        <v>592</v>
      </c>
      <c r="F43" s="1">
        <v>397</v>
      </c>
      <c r="G43" s="2">
        <v>8401</v>
      </c>
      <c r="H43" s="12">
        <v>1844080</v>
      </c>
      <c r="I43" s="13" t="s">
        <v>34</v>
      </c>
    </row>
    <row r="44" spans="1:9" ht="17" customHeight="1" x14ac:dyDescent="0.35">
      <c r="A44" s="7" t="s">
        <v>20</v>
      </c>
      <c r="B44" s="1" t="s">
        <v>10</v>
      </c>
      <c r="C44" s="1" t="s">
        <v>38</v>
      </c>
      <c r="D44" s="1">
        <v>5134</v>
      </c>
      <c r="E44" s="1">
        <v>322</v>
      </c>
      <c r="F44" s="1">
        <v>406</v>
      </c>
      <c r="G44" s="2">
        <v>4856</v>
      </c>
      <c r="H44" s="12">
        <v>1653148</v>
      </c>
      <c r="I44" s="13" t="s">
        <v>34</v>
      </c>
    </row>
    <row r="45" spans="1:9" ht="17" customHeight="1" x14ac:dyDescent="0.35">
      <c r="A45" s="7" t="s">
        <v>20</v>
      </c>
      <c r="B45" s="1" t="s">
        <v>11</v>
      </c>
      <c r="C45" s="1" t="s">
        <v>36</v>
      </c>
      <c r="D45" s="1">
        <v>5701</v>
      </c>
      <c r="E45" s="1">
        <v>459</v>
      </c>
      <c r="F45" s="1">
        <v>556</v>
      </c>
      <c r="G45" s="2">
        <v>12276</v>
      </c>
      <c r="H45" s="12">
        <v>2616759</v>
      </c>
      <c r="I45" s="13" t="s">
        <v>34</v>
      </c>
    </row>
    <row r="46" spans="1:9" ht="17" customHeight="1" x14ac:dyDescent="0.35">
      <c r="A46" s="7" t="s">
        <v>20</v>
      </c>
      <c r="B46" s="1" t="s">
        <v>12</v>
      </c>
      <c r="C46" s="1" t="s">
        <v>36</v>
      </c>
      <c r="D46" s="1">
        <v>3882</v>
      </c>
      <c r="E46" s="1">
        <v>460</v>
      </c>
      <c r="F46" s="1">
        <v>237</v>
      </c>
      <c r="G46" s="2">
        <v>6105</v>
      </c>
      <c r="H46" s="12">
        <v>1785720</v>
      </c>
      <c r="I46" s="13" t="s">
        <v>34</v>
      </c>
    </row>
    <row r="47" spans="1:9" ht="17" customHeight="1" x14ac:dyDescent="0.35">
      <c r="A47" s="7" t="s">
        <v>20</v>
      </c>
      <c r="B47" s="1" t="s">
        <v>13</v>
      </c>
      <c r="C47" s="1" t="s">
        <v>35</v>
      </c>
      <c r="D47" s="1">
        <v>4175</v>
      </c>
      <c r="E47" s="1">
        <v>459</v>
      </c>
      <c r="F47" s="1">
        <v>340</v>
      </c>
      <c r="G47" s="2">
        <v>5943</v>
      </c>
      <c r="H47" s="12">
        <v>1916325</v>
      </c>
      <c r="I47" s="13" t="s">
        <v>34</v>
      </c>
    </row>
    <row r="48" spans="1:9" ht="17" customHeight="1" x14ac:dyDescent="0.35">
      <c r="A48" s="7" t="s">
        <v>20</v>
      </c>
      <c r="B48" s="1" t="s">
        <v>14</v>
      </c>
      <c r="C48" s="1" t="s">
        <v>37</v>
      </c>
      <c r="D48" s="1">
        <v>4583</v>
      </c>
      <c r="E48" s="1">
        <v>660</v>
      </c>
      <c r="F48" s="1">
        <v>158</v>
      </c>
      <c r="G48" s="2">
        <v>3053</v>
      </c>
      <c r="H48" s="12">
        <v>3024780</v>
      </c>
      <c r="I48" s="13" t="s">
        <v>34</v>
      </c>
    </row>
    <row r="49" spans="1:9" ht="17" customHeight="1" x14ac:dyDescent="0.35">
      <c r="A49" s="7" t="s">
        <v>20</v>
      </c>
      <c r="B49" s="1" t="s">
        <v>15</v>
      </c>
      <c r="C49" s="1" t="s">
        <v>38</v>
      </c>
      <c r="D49" s="1">
        <v>3231</v>
      </c>
      <c r="E49" s="1">
        <v>515</v>
      </c>
      <c r="F49" s="1">
        <v>559</v>
      </c>
      <c r="G49" s="2">
        <v>14400</v>
      </c>
      <c r="H49" s="12">
        <v>1663965</v>
      </c>
      <c r="I49" s="13" t="s">
        <v>34</v>
      </c>
    </row>
    <row r="50" spans="1:9" ht="17" customHeight="1" x14ac:dyDescent="0.35">
      <c r="A50" s="7" t="s">
        <v>21</v>
      </c>
      <c r="B50" s="1" t="s">
        <v>8</v>
      </c>
      <c r="C50" s="1" t="s">
        <v>36</v>
      </c>
      <c r="D50" s="1">
        <v>3173</v>
      </c>
      <c r="E50" s="1">
        <v>427</v>
      </c>
      <c r="F50" s="1">
        <v>102</v>
      </c>
      <c r="G50" s="2">
        <v>1314</v>
      </c>
      <c r="H50" s="12">
        <v>1354871</v>
      </c>
      <c r="I50" s="13" t="s">
        <v>34</v>
      </c>
    </row>
    <row r="51" spans="1:9" ht="17" customHeight="1" x14ac:dyDescent="0.35">
      <c r="A51" s="7" t="s">
        <v>21</v>
      </c>
      <c r="B51" s="1" t="s">
        <v>9</v>
      </c>
      <c r="C51" s="1" t="s">
        <v>36</v>
      </c>
      <c r="D51" s="1">
        <v>5724</v>
      </c>
      <c r="E51" s="1">
        <v>376</v>
      </c>
      <c r="F51" s="1">
        <v>369</v>
      </c>
      <c r="G51" s="2">
        <v>7808</v>
      </c>
      <c r="H51" s="12">
        <v>2152224</v>
      </c>
      <c r="I51" s="13" t="s">
        <v>34</v>
      </c>
    </row>
    <row r="52" spans="1:9" ht="17" customHeight="1" x14ac:dyDescent="0.35">
      <c r="A52" s="7" t="s">
        <v>21</v>
      </c>
      <c r="B52" s="1" t="s">
        <v>10</v>
      </c>
      <c r="C52" s="1" t="s">
        <v>38</v>
      </c>
      <c r="D52" s="1">
        <v>6103</v>
      </c>
      <c r="E52" s="1">
        <v>661</v>
      </c>
      <c r="F52" s="1">
        <v>418</v>
      </c>
      <c r="G52" s="2">
        <v>4999</v>
      </c>
      <c r="H52" s="12">
        <v>4034083</v>
      </c>
      <c r="I52" s="13" t="s">
        <v>34</v>
      </c>
    </row>
    <row r="53" spans="1:9" ht="17" customHeight="1" x14ac:dyDescent="0.35">
      <c r="A53" s="7" t="s">
        <v>21</v>
      </c>
      <c r="B53" s="1" t="s">
        <v>11</v>
      </c>
      <c r="C53" s="1" t="s">
        <v>38</v>
      </c>
      <c r="D53" s="1">
        <v>6785</v>
      </c>
      <c r="E53" s="1">
        <v>435</v>
      </c>
      <c r="F53" s="1">
        <v>682</v>
      </c>
      <c r="G53" s="2">
        <v>15059</v>
      </c>
      <c r="H53" s="12">
        <v>2951475</v>
      </c>
      <c r="I53" s="13" t="s">
        <v>34</v>
      </c>
    </row>
    <row r="54" spans="1:9" ht="17" customHeight="1" x14ac:dyDescent="0.35">
      <c r="A54" s="7" t="s">
        <v>21</v>
      </c>
      <c r="B54" s="1" t="s">
        <v>12</v>
      </c>
      <c r="C54" s="1" t="s">
        <v>38</v>
      </c>
      <c r="D54" s="1">
        <v>3027</v>
      </c>
      <c r="E54" s="1">
        <v>407</v>
      </c>
      <c r="F54" s="1">
        <v>438</v>
      </c>
      <c r="G54" s="2">
        <v>11283</v>
      </c>
      <c r="H54" s="12">
        <v>1231989</v>
      </c>
      <c r="I54" s="13" t="s">
        <v>34</v>
      </c>
    </row>
    <row r="55" spans="1:9" ht="17" customHeight="1" x14ac:dyDescent="0.35">
      <c r="A55" s="7" t="s">
        <v>21</v>
      </c>
      <c r="B55" s="1" t="s">
        <v>13</v>
      </c>
      <c r="C55" s="1" t="s">
        <v>38</v>
      </c>
      <c r="D55" s="1">
        <v>5016</v>
      </c>
      <c r="E55" s="1">
        <v>681</v>
      </c>
      <c r="F55" s="1">
        <v>487</v>
      </c>
      <c r="G55" s="2">
        <v>8513</v>
      </c>
      <c r="H55" s="12">
        <v>3415896</v>
      </c>
      <c r="I55" s="13" t="s">
        <v>34</v>
      </c>
    </row>
    <row r="56" spans="1:9" ht="17" customHeight="1" x14ac:dyDescent="0.35">
      <c r="A56" s="7" t="s">
        <v>21</v>
      </c>
      <c r="B56" s="1" t="s">
        <v>14</v>
      </c>
      <c r="C56" s="1" t="s">
        <v>38</v>
      </c>
      <c r="D56" s="1">
        <v>3827</v>
      </c>
      <c r="E56" s="1">
        <v>527</v>
      </c>
      <c r="F56" s="1">
        <v>272</v>
      </c>
      <c r="G56" s="2">
        <v>5255</v>
      </c>
      <c r="H56" s="12">
        <v>2016829</v>
      </c>
      <c r="I56" s="13" t="s">
        <v>34</v>
      </c>
    </row>
    <row r="57" spans="1:9" ht="17" customHeight="1" x14ac:dyDescent="0.35">
      <c r="A57" s="7" t="s">
        <v>21</v>
      </c>
      <c r="B57" s="1" t="s">
        <v>15</v>
      </c>
      <c r="C57" s="1" t="s">
        <v>37</v>
      </c>
      <c r="D57" s="1">
        <v>5032</v>
      </c>
      <c r="E57" s="1">
        <v>387</v>
      </c>
      <c r="F57" s="1">
        <v>224</v>
      </c>
      <c r="G57" s="2">
        <v>5770</v>
      </c>
      <c r="H57" s="12">
        <v>1947384</v>
      </c>
      <c r="I57" s="13" t="s">
        <v>34</v>
      </c>
    </row>
    <row r="58" spans="1:9" ht="17" customHeight="1" x14ac:dyDescent="0.35">
      <c r="A58" s="7" t="s">
        <v>22</v>
      </c>
      <c r="B58" s="1" t="s">
        <v>8</v>
      </c>
      <c r="C58" s="1" t="s">
        <v>36</v>
      </c>
      <c r="D58" s="1">
        <v>3997</v>
      </c>
      <c r="E58" s="1">
        <v>453</v>
      </c>
      <c r="F58" s="1">
        <v>664</v>
      </c>
      <c r="G58" s="2">
        <v>8552</v>
      </c>
      <c r="H58" s="12">
        <v>1810641</v>
      </c>
      <c r="I58" s="13" t="s">
        <v>34</v>
      </c>
    </row>
    <row r="59" spans="1:9" ht="17" customHeight="1" x14ac:dyDescent="0.35">
      <c r="A59" s="7" t="s">
        <v>22</v>
      </c>
      <c r="B59" s="1" t="s">
        <v>9</v>
      </c>
      <c r="C59" s="1" t="s">
        <v>35</v>
      </c>
      <c r="D59" s="1">
        <v>5920</v>
      </c>
      <c r="E59" s="1">
        <v>374</v>
      </c>
      <c r="F59" s="1">
        <v>599</v>
      </c>
      <c r="G59" s="2">
        <v>12675</v>
      </c>
      <c r="H59" s="12">
        <v>2214080</v>
      </c>
      <c r="I59" s="13" t="s">
        <v>34</v>
      </c>
    </row>
    <row r="60" spans="1:9" ht="17" customHeight="1" x14ac:dyDescent="0.35">
      <c r="A60" s="7" t="s">
        <v>22</v>
      </c>
      <c r="B60" s="1" t="s">
        <v>10</v>
      </c>
      <c r="C60" s="1" t="s">
        <v>35</v>
      </c>
      <c r="D60" s="1">
        <v>6481</v>
      </c>
      <c r="E60" s="1">
        <v>365</v>
      </c>
      <c r="F60" s="1">
        <v>668</v>
      </c>
      <c r="G60" s="2">
        <v>7989</v>
      </c>
      <c r="H60" s="12">
        <v>2365565</v>
      </c>
      <c r="I60" s="13" t="s">
        <v>34</v>
      </c>
    </row>
    <row r="61" spans="1:9" ht="17" customHeight="1" x14ac:dyDescent="0.35">
      <c r="A61" s="7" t="s">
        <v>22</v>
      </c>
      <c r="B61" s="1" t="s">
        <v>11</v>
      </c>
      <c r="C61" s="1" t="s">
        <v>37</v>
      </c>
      <c r="D61" s="1">
        <v>5501</v>
      </c>
      <c r="E61" s="1">
        <v>588</v>
      </c>
      <c r="F61" s="1">
        <v>538</v>
      </c>
      <c r="G61" s="2">
        <v>11879</v>
      </c>
      <c r="H61" s="12">
        <v>3234588</v>
      </c>
      <c r="I61" s="13" t="s">
        <v>34</v>
      </c>
    </row>
    <row r="62" spans="1:9" ht="17" customHeight="1" x14ac:dyDescent="0.35">
      <c r="A62" s="7" t="s">
        <v>22</v>
      </c>
      <c r="B62" s="1" t="s">
        <v>12</v>
      </c>
      <c r="C62" s="1" t="s">
        <v>35</v>
      </c>
      <c r="D62" s="1">
        <v>6949</v>
      </c>
      <c r="E62" s="1">
        <v>542</v>
      </c>
      <c r="F62" s="1">
        <v>205</v>
      </c>
      <c r="G62" s="2">
        <v>5281</v>
      </c>
      <c r="H62" s="12">
        <v>3766358</v>
      </c>
      <c r="I62" s="13" t="s">
        <v>34</v>
      </c>
    </row>
    <row r="63" spans="1:9" ht="17" customHeight="1" x14ac:dyDescent="0.35">
      <c r="A63" s="7" t="s">
        <v>22</v>
      </c>
      <c r="B63" s="1" t="s">
        <v>13</v>
      </c>
      <c r="C63" s="1" t="s">
        <v>35</v>
      </c>
      <c r="D63" s="1">
        <v>5439</v>
      </c>
      <c r="E63" s="1">
        <v>535</v>
      </c>
      <c r="F63" s="1">
        <v>488</v>
      </c>
      <c r="G63" s="2">
        <v>8530</v>
      </c>
      <c r="H63" s="12">
        <v>2909865</v>
      </c>
      <c r="I63" s="13" t="s">
        <v>34</v>
      </c>
    </row>
    <row r="64" spans="1:9" ht="17" customHeight="1" x14ac:dyDescent="0.35">
      <c r="A64" s="7" t="s">
        <v>22</v>
      </c>
      <c r="B64" s="1" t="s">
        <v>14</v>
      </c>
      <c r="C64" s="1" t="s">
        <v>38</v>
      </c>
      <c r="D64" s="1">
        <v>5709</v>
      </c>
      <c r="E64" s="1">
        <v>514</v>
      </c>
      <c r="F64" s="1">
        <v>355</v>
      </c>
      <c r="G64" s="2">
        <v>6859</v>
      </c>
      <c r="H64" s="12">
        <v>2934426</v>
      </c>
      <c r="I64" s="13" t="s">
        <v>34</v>
      </c>
    </row>
    <row r="65" spans="1:9" ht="17" customHeight="1" x14ac:dyDescent="0.35">
      <c r="A65" s="7" t="s">
        <v>22</v>
      </c>
      <c r="B65" s="1" t="s">
        <v>15</v>
      </c>
      <c r="C65" s="1" t="s">
        <v>37</v>
      </c>
      <c r="D65" s="1">
        <v>5706</v>
      </c>
      <c r="E65" s="1">
        <v>566</v>
      </c>
      <c r="F65" s="1">
        <v>537</v>
      </c>
      <c r="G65" s="2">
        <v>13833</v>
      </c>
      <c r="H65" s="12">
        <v>3229596</v>
      </c>
      <c r="I65" s="13" t="s">
        <v>34</v>
      </c>
    </row>
    <row r="66" spans="1:9" ht="17" customHeight="1" x14ac:dyDescent="0.35">
      <c r="A66" s="7" t="s">
        <v>23</v>
      </c>
      <c r="B66" s="1" t="s">
        <v>8</v>
      </c>
      <c r="C66" s="1" t="s">
        <v>38</v>
      </c>
      <c r="D66" s="1">
        <v>3307</v>
      </c>
      <c r="E66" s="1">
        <v>409</v>
      </c>
      <c r="F66" s="1">
        <v>350</v>
      </c>
      <c r="G66" s="2">
        <v>4508</v>
      </c>
      <c r="H66" s="12">
        <v>1352563</v>
      </c>
      <c r="I66" s="13" t="s">
        <v>34</v>
      </c>
    </row>
    <row r="67" spans="1:9" ht="17" customHeight="1" x14ac:dyDescent="0.35">
      <c r="A67" s="7" t="s">
        <v>23</v>
      </c>
      <c r="B67" s="1" t="s">
        <v>9</v>
      </c>
      <c r="C67" s="1" t="s">
        <v>36</v>
      </c>
      <c r="D67" s="1">
        <v>6277</v>
      </c>
      <c r="E67" s="1">
        <v>505</v>
      </c>
      <c r="F67" s="1">
        <v>412</v>
      </c>
      <c r="G67" s="2">
        <v>8718</v>
      </c>
      <c r="H67" s="12">
        <v>3169885</v>
      </c>
      <c r="I67" s="13" t="s">
        <v>34</v>
      </c>
    </row>
    <row r="68" spans="1:9" ht="17" customHeight="1" x14ac:dyDescent="0.35">
      <c r="A68" s="7" t="s">
        <v>23</v>
      </c>
      <c r="B68" s="1" t="s">
        <v>10</v>
      </c>
      <c r="C68" s="1" t="s">
        <v>35</v>
      </c>
      <c r="D68" s="1">
        <v>6941</v>
      </c>
      <c r="E68" s="1">
        <v>429</v>
      </c>
      <c r="F68" s="1">
        <v>561</v>
      </c>
      <c r="G68" s="2">
        <v>6710</v>
      </c>
      <c r="H68" s="12">
        <v>2977689</v>
      </c>
      <c r="I68" s="13" t="s">
        <v>34</v>
      </c>
    </row>
    <row r="69" spans="1:9" ht="17" customHeight="1" x14ac:dyDescent="0.35">
      <c r="A69" s="7" t="s">
        <v>23</v>
      </c>
      <c r="B69" s="1" t="s">
        <v>11</v>
      </c>
      <c r="C69" s="1" t="s">
        <v>38</v>
      </c>
      <c r="D69" s="1">
        <v>3788</v>
      </c>
      <c r="E69" s="1">
        <v>460</v>
      </c>
      <c r="F69" s="1">
        <v>213</v>
      </c>
      <c r="G69" s="2">
        <v>4703</v>
      </c>
      <c r="H69" s="12">
        <v>1742480</v>
      </c>
      <c r="I69" s="13" t="s">
        <v>34</v>
      </c>
    </row>
    <row r="70" spans="1:9" ht="17" customHeight="1" x14ac:dyDescent="0.35">
      <c r="A70" s="7" t="s">
        <v>23</v>
      </c>
      <c r="B70" s="1" t="s">
        <v>12</v>
      </c>
      <c r="C70" s="1" t="s">
        <v>37</v>
      </c>
      <c r="D70" s="1">
        <v>4421</v>
      </c>
      <c r="E70" s="1">
        <v>420</v>
      </c>
      <c r="F70" s="1">
        <v>360</v>
      </c>
      <c r="G70" s="2">
        <v>9274</v>
      </c>
      <c r="H70" s="12">
        <v>1856820</v>
      </c>
      <c r="I70" s="13" t="s">
        <v>34</v>
      </c>
    </row>
    <row r="71" spans="1:9" ht="17" customHeight="1" x14ac:dyDescent="0.35">
      <c r="A71" s="7" t="s">
        <v>23</v>
      </c>
      <c r="B71" s="1" t="s">
        <v>13</v>
      </c>
      <c r="C71" s="1" t="s">
        <v>38</v>
      </c>
      <c r="D71" s="1">
        <v>6364</v>
      </c>
      <c r="E71" s="1">
        <v>579</v>
      </c>
      <c r="F71" s="1">
        <v>214</v>
      </c>
      <c r="G71" s="2">
        <v>3741</v>
      </c>
      <c r="H71" s="12">
        <v>3684756</v>
      </c>
      <c r="I71" s="13" t="s">
        <v>34</v>
      </c>
    </row>
    <row r="72" spans="1:9" ht="17" customHeight="1" x14ac:dyDescent="0.35">
      <c r="A72" s="7" t="s">
        <v>23</v>
      </c>
      <c r="B72" s="1" t="s">
        <v>14</v>
      </c>
      <c r="C72" s="1" t="s">
        <v>35</v>
      </c>
      <c r="D72" s="1">
        <v>4347</v>
      </c>
      <c r="E72" s="1">
        <v>407</v>
      </c>
      <c r="F72" s="1">
        <v>243</v>
      </c>
      <c r="G72" s="2">
        <v>4695</v>
      </c>
      <c r="H72" s="12">
        <v>1769229</v>
      </c>
      <c r="I72" s="13" t="s">
        <v>34</v>
      </c>
    </row>
    <row r="73" spans="1:9" ht="17" customHeight="1" x14ac:dyDescent="0.35">
      <c r="A73" s="7" t="s">
        <v>23</v>
      </c>
      <c r="B73" s="1" t="s">
        <v>15</v>
      </c>
      <c r="C73" s="1" t="s">
        <v>35</v>
      </c>
      <c r="D73" s="1">
        <v>4691</v>
      </c>
      <c r="E73" s="1">
        <v>641</v>
      </c>
      <c r="F73" s="1">
        <v>341</v>
      </c>
      <c r="G73" s="2">
        <v>8784</v>
      </c>
      <c r="H73" s="12">
        <v>3006931</v>
      </c>
      <c r="I73" s="13" t="s">
        <v>34</v>
      </c>
    </row>
    <row r="74" spans="1:9" ht="17" customHeight="1" x14ac:dyDescent="0.35">
      <c r="A74" s="7" t="s">
        <v>24</v>
      </c>
      <c r="B74" s="1" t="s">
        <v>8</v>
      </c>
      <c r="C74" s="1" t="s">
        <v>35</v>
      </c>
      <c r="D74" s="1">
        <v>4560</v>
      </c>
      <c r="E74" s="1">
        <v>449</v>
      </c>
      <c r="F74" s="1">
        <v>432</v>
      </c>
      <c r="G74" s="2">
        <v>5564</v>
      </c>
      <c r="H74" s="12">
        <v>2047440</v>
      </c>
      <c r="I74" s="13" t="s">
        <v>34</v>
      </c>
    </row>
    <row r="75" spans="1:9" ht="17" customHeight="1" x14ac:dyDescent="0.35">
      <c r="A75" s="7" t="s">
        <v>24</v>
      </c>
      <c r="B75" s="1" t="s">
        <v>9</v>
      </c>
      <c r="C75" s="1" t="s">
        <v>37</v>
      </c>
      <c r="D75" s="1">
        <v>5765</v>
      </c>
      <c r="E75" s="1">
        <v>661</v>
      </c>
      <c r="F75" s="1">
        <v>310</v>
      </c>
      <c r="G75" s="2">
        <v>6560</v>
      </c>
      <c r="H75" s="12">
        <v>3810665</v>
      </c>
      <c r="I75" s="13" t="s">
        <v>34</v>
      </c>
    </row>
    <row r="76" spans="1:9" ht="17" customHeight="1" x14ac:dyDescent="0.35">
      <c r="A76" s="7" t="s">
        <v>24</v>
      </c>
      <c r="B76" s="1" t="s">
        <v>10</v>
      </c>
      <c r="C76" s="1" t="s">
        <v>36</v>
      </c>
      <c r="D76" s="1">
        <v>3180</v>
      </c>
      <c r="E76" s="1">
        <v>328</v>
      </c>
      <c r="F76" s="1">
        <v>370</v>
      </c>
      <c r="G76" s="2">
        <v>4425</v>
      </c>
      <c r="H76" s="12">
        <v>1043040</v>
      </c>
      <c r="I76" s="13" t="s">
        <v>34</v>
      </c>
    </row>
    <row r="77" spans="1:9" ht="17" customHeight="1" x14ac:dyDescent="0.35">
      <c r="A77" s="7" t="s">
        <v>24</v>
      </c>
      <c r="B77" s="1" t="s">
        <v>11</v>
      </c>
      <c r="C77" s="1" t="s">
        <v>35</v>
      </c>
      <c r="D77" s="1">
        <v>4006</v>
      </c>
      <c r="E77" s="1">
        <v>659</v>
      </c>
      <c r="F77" s="1">
        <v>649</v>
      </c>
      <c r="G77" s="2">
        <v>14330</v>
      </c>
      <c r="H77" s="12">
        <v>2639954</v>
      </c>
      <c r="I77" s="13" t="s">
        <v>34</v>
      </c>
    </row>
    <row r="78" spans="1:9" ht="17" customHeight="1" x14ac:dyDescent="0.35">
      <c r="A78" s="7" t="s">
        <v>24</v>
      </c>
      <c r="B78" s="1" t="s">
        <v>12</v>
      </c>
      <c r="C78" s="1" t="s">
        <v>38</v>
      </c>
      <c r="D78" s="1">
        <v>6085</v>
      </c>
      <c r="E78" s="1">
        <v>412</v>
      </c>
      <c r="F78" s="1">
        <v>231</v>
      </c>
      <c r="G78" s="2">
        <v>5951</v>
      </c>
      <c r="H78" s="12">
        <v>2507020</v>
      </c>
      <c r="I78" s="13" t="s">
        <v>34</v>
      </c>
    </row>
    <row r="79" spans="1:9" ht="17" customHeight="1" x14ac:dyDescent="0.35">
      <c r="A79" s="7" t="s">
        <v>24</v>
      </c>
      <c r="B79" s="1" t="s">
        <v>13</v>
      </c>
      <c r="C79" s="1" t="s">
        <v>37</v>
      </c>
      <c r="D79" s="1">
        <v>5807</v>
      </c>
      <c r="E79" s="1">
        <v>537</v>
      </c>
      <c r="F79" s="1">
        <v>647</v>
      </c>
      <c r="G79" s="2">
        <v>11310</v>
      </c>
      <c r="H79" s="12">
        <v>3118359</v>
      </c>
      <c r="I79" s="13" t="s">
        <v>34</v>
      </c>
    </row>
    <row r="80" spans="1:9" ht="17" customHeight="1" x14ac:dyDescent="0.35">
      <c r="A80" s="7" t="s">
        <v>24</v>
      </c>
      <c r="B80" s="1" t="s">
        <v>14</v>
      </c>
      <c r="C80" s="1" t="s">
        <v>35</v>
      </c>
      <c r="D80" s="1">
        <v>3212</v>
      </c>
      <c r="E80" s="1">
        <v>638</v>
      </c>
      <c r="F80" s="1">
        <v>368</v>
      </c>
      <c r="G80" s="2">
        <v>7110</v>
      </c>
      <c r="H80" s="12">
        <v>2049256</v>
      </c>
      <c r="I80" s="13" t="s">
        <v>34</v>
      </c>
    </row>
    <row r="81" spans="1:9" ht="17" customHeight="1" x14ac:dyDescent="0.35">
      <c r="A81" s="7" t="s">
        <v>24</v>
      </c>
      <c r="B81" s="1" t="s">
        <v>15</v>
      </c>
      <c r="C81" s="1" t="s">
        <v>35</v>
      </c>
      <c r="D81" s="1">
        <v>4831</v>
      </c>
      <c r="E81" s="1">
        <v>605</v>
      </c>
      <c r="F81" s="1">
        <v>575</v>
      </c>
      <c r="G81" s="2">
        <v>14812</v>
      </c>
      <c r="H81" s="12">
        <v>2922755</v>
      </c>
      <c r="I81" s="13" t="s">
        <v>34</v>
      </c>
    </row>
    <row r="82" spans="1:9" ht="17" customHeight="1" x14ac:dyDescent="0.35">
      <c r="A82" s="7" t="s">
        <v>25</v>
      </c>
      <c r="B82" s="1" t="s">
        <v>8</v>
      </c>
      <c r="C82" s="1" t="s">
        <v>37</v>
      </c>
      <c r="D82" s="1">
        <v>4644</v>
      </c>
      <c r="E82" s="1">
        <v>508</v>
      </c>
      <c r="F82" s="1">
        <v>497</v>
      </c>
      <c r="G82" s="2">
        <v>6401</v>
      </c>
      <c r="H82" s="12">
        <v>2359152</v>
      </c>
      <c r="I82" s="13" t="s">
        <v>34</v>
      </c>
    </row>
    <row r="83" spans="1:9" ht="17" customHeight="1" x14ac:dyDescent="0.35">
      <c r="A83" s="7" t="s">
        <v>25</v>
      </c>
      <c r="B83" s="1" t="s">
        <v>9</v>
      </c>
      <c r="C83" s="1" t="s">
        <v>35</v>
      </c>
      <c r="D83" s="1">
        <v>4123</v>
      </c>
      <c r="E83" s="1">
        <v>579</v>
      </c>
      <c r="F83" s="1">
        <v>495</v>
      </c>
      <c r="G83" s="2">
        <v>10474</v>
      </c>
      <c r="H83" s="12">
        <v>2387217</v>
      </c>
      <c r="I83" s="13" t="s">
        <v>34</v>
      </c>
    </row>
    <row r="84" spans="1:9" ht="17" customHeight="1" x14ac:dyDescent="0.35">
      <c r="A84" s="7" t="s">
        <v>25</v>
      </c>
      <c r="B84" s="1" t="s">
        <v>10</v>
      </c>
      <c r="C84" s="1" t="s">
        <v>35</v>
      </c>
      <c r="D84" s="1">
        <v>6448</v>
      </c>
      <c r="E84" s="1">
        <v>569</v>
      </c>
      <c r="F84" s="1">
        <v>487</v>
      </c>
      <c r="G84" s="2">
        <v>5825</v>
      </c>
      <c r="H84" s="12">
        <v>3668912</v>
      </c>
      <c r="I84" s="13" t="s">
        <v>34</v>
      </c>
    </row>
    <row r="85" spans="1:9" ht="17" customHeight="1" x14ac:dyDescent="0.35">
      <c r="A85" s="7" t="s">
        <v>25</v>
      </c>
      <c r="B85" s="1" t="s">
        <v>11</v>
      </c>
      <c r="C85" s="1" t="s">
        <v>38</v>
      </c>
      <c r="D85" s="1">
        <v>6188</v>
      </c>
      <c r="E85" s="1">
        <v>634</v>
      </c>
      <c r="F85" s="1">
        <v>315</v>
      </c>
      <c r="G85" s="2">
        <v>6955</v>
      </c>
      <c r="H85" s="12">
        <v>3923192</v>
      </c>
      <c r="I85" s="13" t="s">
        <v>34</v>
      </c>
    </row>
    <row r="86" spans="1:9" ht="17" customHeight="1" x14ac:dyDescent="0.35">
      <c r="A86" s="7" t="s">
        <v>25</v>
      </c>
      <c r="B86" s="1" t="s">
        <v>12</v>
      </c>
      <c r="C86" s="1" t="s">
        <v>38</v>
      </c>
      <c r="D86" s="1">
        <v>6737</v>
      </c>
      <c r="E86" s="1">
        <v>390</v>
      </c>
      <c r="F86" s="1">
        <v>513</v>
      </c>
      <c r="G86" s="2">
        <v>13215</v>
      </c>
      <c r="H86" s="12">
        <v>2627430</v>
      </c>
      <c r="I86" s="13" t="s">
        <v>34</v>
      </c>
    </row>
    <row r="87" spans="1:9" ht="17" customHeight="1" x14ac:dyDescent="0.35">
      <c r="A87" s="7" t="s">
        <v>25</v>
      </c>
      <c r="B87" s="1" t="s">
        <v>13</v>
      </c>
      <c r="C87" s="1" t="s">
        <v>38</v>
      </c>
      <c r="D87" s="1">
        <v>5368</v>
      </c>
      <c r="E87" s="1">
        <v>368</v>
      </c>
      <c r="F87" s="1">
        <v>318</v>
      </c>
      <c r="G87" s="2">
        <v>5559</v>
      </c>
      <c r="H87" s="12">
        <v>1975424</v>
      </c>
      <c r="I87" s="13" t="s">
        <v>34</v>
      </c>
    </row>
    <row r="88" spans="1:9" ht="17" customHeight="1" x14ac:dyDescent="0.35">
      <c r="A88" s="7" t="s">
        <v>25</v>
      </c>
      <c r="B88" s="1" t="s">
        <v>14</v>
      </c>
      <c r="C88" s="1" t="s">
        <v>38</v>
      </c>
      <c r="D88" s="1">
        <v>3634</v>
      </c>
      <c r="E88" s="1">
        <v>369</v>
      </c>
      <c r="F88" s="1">
        <v>271</v>
      </c>
      <c r="G88" s="2">
        <v>5236</v>
      </c>
      <c r="H88" s="12">
        <v>1340946</v>
      </c>
      <c r="I88" s="13" t="s">
        <v>34</v>
      </c>
    </row>
    <row r="89" spans="1:9" ht="17" customHeight="1" x14ac:dyDescent="0.35">
      <c r="A89" s="7" t="s">
        <v>25</v>
      </c>
      <c r="B89" s="1" t="s">
        <v>15</v>
      </c>
      <c r="C89" s="1" t="s">
        <v>38</v>
      </c>
      <c r="D89" s="1">
        <v>6183</v>
      </c>
      <c r="E89" s="1">
        <v>417</v>
      </c>
      <c r="F89" s="1">
        <v>195</v>
      </c>
      <c r="G89" s="2">
        <v>5023</v>
      </c>
      <c r="H89" s="12">
        <v>2578311</v>
      </c>
      <c r="I89" s="13" t="s">
        <v>34</v>
      </c>
    </row>
    <row r="90" spans="1:9" ht="17" customHeight="1" x14ac:dyDescent="0.35">
      <c r="A90" s="7" t="s">
        <v>26</v>
      </c>
      <c r="B90" s="1" t="s">
        <v>8</v>
      </c>
      <c r="C90" s="1" t="s">
        <v>37</v>
      </c>
      <c r="D90" s="1">
        <v>5883</v>
      </c>
      <c r="E90" s="1">
        <v>523</v>
      </c>
      <c r="F90" s="1">
        <v>450</v>
      </c>
      <c r="G90" s="2">
        <v>5796</v>
      </c>
      <c r="H90" s="12">
        <v>3076809</v>
      </c>
      <c r="I90" s="13" t="s">
        <v>34</v>
      </c>
    </row>
    <row r="91" spans="1:9" ht="17" customHeight="1" x14ac:dyDescent="0.35">
      <c r="A91" s="7" t="s">
        <v>26</v>
      </c>
      <c r="B91" s="1" t="s">
        <v>9</v>
      </c>
      <c r="C91" s="1" t="s">
        <v>37</v>
      </c>
      <c r="D91" s="1">
        <v>4605</v>
      </c>
      <c r="E91" s="1">
        <v>539</v>
      </c>
      <c r="F91" s="1">
        <v>610</v>
      </c>
      <c r="G91" s="2">
        <v>12908</v>
      </c>
      <c r="H91" s="12">
        <v>2482095</v>
      </c>
      <c r="I91" s="13" t="s">
        <v>34</v>
      </c>
    </row>
    <row r="92" spans="1:9" ht="17" customHeight="1" x14ac:dyDescent="0.35">
      <c r="A92" s="7" t="s">
        <v>26</v>
      </c>
      <c r="B92" s="1" t="s">
        <v>10</v>
      </c>
      <c r="C92" s="1" t="s">
        <v>36</v>
      </c>
      <c r="D92" s="1">
        <v>4317</v>
      </c>
      <c r="E92" s="1">
        <v>434</v>
      </c>
      <c r="F92" s="1">
        <v>224</v>
      </c>
      <c r="G92" s="2">
        <v>2679</v>
      </c>
      <c r="H92" s="12">
        <v>1873578</v>
      </c>
      <c r="I92" s="13" t="s">
        <v>34</v>
      </c>
    </row>
    <row r="93" spans="1:9" ht="17" customHeight="1" x14ac:dyDescent="0.35">
      <c r="A93" s="7" t="s">
        <v>26</v>
      </c>
      <c r="B93" s="1" t="s">
        <v>11</v>
      </c>
      <c r="C93" s="1" t="s">
        <v>35</v>
      </c>
      <c r="D93" s="1">
        <v>4679</v>
      </c>
      <c r="E93" s="1">
        <v>674</v>
      </c>
      <c r="F93" s="1">
        <v>445</v>
      </c>
      <c r="G93" s="2">
        <v>9826</v>
      </c>
      <c r="H93" s="12">
        <v>3153646</v>
      </c>
      <c r="I93" s="13" t="s">
        <v>34</v>
      </c>
    </row>
    <row r="94" spans="1:9" ht="17" customHeight="1" x14ac:dyDescent="0.35">
      <c r="A94" s="7" t="s">
        <v>26</v>
      </c>
      <c r="B94" s="1" t="s">
        <v>12</v>
      </c>
      <c r="C94" s="1" t="s">
        <v>36</v>
      </c>
      <c r="D94" s="1">
        <v>5633</v>
      </c>
      <c r="E94" s="1">
        <v>675</v>
      </c>
      <c r="F94" s="1">
        <v>192</v>
      </c>
      <c r="G94" s="2">
        <v>4946</v>
      </c>
      <c r="H94" s="12">
        <v>3802275</v>
      </c>
      <c r="I94" s="13" t="s">
        <v>34</v>
      </c>
    </row>
    <row r="95" spans="1:9" ht="17" customHeight="1" x14ac:dyDescent="0.35">
      <c r="A95" s="7" t="s">
        <v>26</v>
      </c>
      <c r="B95" s="1" t="s">
        <v>13</v>
      </c>
      <c r="C95" s="1" t="s">
        <v>36</v>
      </c>
      <c r="D95" s="1">
        <v>4327</v>
      </c>
      <c r="E95" s="1">
        <v>368</v>
      </c>
      <c r="F95" s="1">
        <v>254</v>
      </c>
      <c r="G95" s="2">
        <v>4440</v>
      </c>
      <c r="H95" s="12">
        <v>1592336</v>
      </c>
      <c r="I95" s="13" t="s">
        <v>34</v>
      </c>
    </row>
    <row r="96" spans="1:9" ht="17" customHeight="1" x14ac:dyDescent="0.35">
      <c r="A96" s="7" t="s">
        <v>26</v>
      </c>
      <c r="B96" s="1" t="s">
        <v>14</v>
      </c>
      <c r="C96" s="1" t="s">
        <v>36</v>
      </c>
      <c r="D96" s="1">
        <v>3903</v>
      </c>
      <c r="E96" s="1">
        <v>356</v>
      </c>
      <c r="F96" s="1">
        <v>177</v>
      </c>
      <c r="G96" s="2">
        <v>3420</v>
      </c>
      <c r="H96" s="12">
        <v>1389468</v>
      </c>
      <c r="I96" s="13" t="s">
        <v>34</v>
      </c>
    </row>
    <row r="97" spans="1:9" ht="17" customHeight="1" x14ac:dyDescent="0.35">
      <c r="A97" s="8" t="s">
        <v>26</v>
      </c>
      <c r="B97" s="9" t="s">
        <v>15</v>
      </c>
      <c r="C97" s="9" t="s">
        <v>38</v>
      </c>
      <c r="D97" s="9">
        <v>6343</v>
      </c>
      <c r="E97" s="9">
        <v>337</v>
      </c>
      <c r="F97" s="9">
        <v>354</v>
      </c>
      <c r="G97" s="10">
        <v>9119</v>
      </c>
      <c r="H97" s="18">
        <v>2137591</v>
      </c>
      <c r="I97" s="11" t="s">
        <v>34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A5B7-B515-427F-88AE-45587C85FC76}">
  <sheetPr codeName="Sheet2">
    <tabColor theme="2" tint="-9.9978637043366805E-2"/>
  </sheetPr>
  <dimension ref="A1:U30"/>
  <sheetViews>
    <sheetView tabSelected="1" zoomScale="94" zoomScaleNormal="94" workbookViewId="0">
      <selection activeCell="U3" sqref="U3"/>
    </sheetView>
  </sheetViews>
  <sheetFormatPr defaultRowHeight="14.5" x14ac:dyDescent="0.35"/>
  <cols>
    <col min="16" max="16" width="8.81640625" customWidth="1"/>
  </cols>
  <sheetData>
    <row r="1" spans="1:21" x14ac:dyDescent="0.35">
      <c r="A1" s="19"/>
      <c r="B1" s="19"/>
      <c r="C1" s="19"/>
      <c r="D1" s="19"/>
      <c r="E1" s="19"/>
      <c r="F1" s="19"/>
      <c r="G1" s="19"/>
      <c r="H1" s="19"/>
      <c r="I1" s="19"/>
      <c r="J1" s="19"/>
      <c r="K1" s="19"/>
      <c r="L1" s="19"/>
      <c r="M1" s="19"/>
      <c r="N1" s="19"/>
      <c r="O1" s="19"/>
      <c r="P1" s="19"/>
      <c r="Q1" s="19"/>
      <c r="R1" s="19"/>
      <c r="S1" s="19"/>
      <c r="T1" s="19"/>
      <c r="U1" s="19"/>
    </row>
    <row r="2" spans="1:21" x14ac:dyDescent="0.35">
      <c r="A2" s="19"/>
      <c r="B2" s="19"/>
      <c r="C2" s="19"/>
      <c r="D2" s="19"/>
      <c r="E2" s="19"/>
      <c r="F2" s="19"/>
      <c r="G2" s="19"/>
      <c r="H2" s="19"/>
      <c r="I2" s="19"/>
      <c r="J2" s="19"/>
      <c r="K2" s="19"/>
      <c r="L2" s="19"/>
      <c r="M2" s="19"/>
      <c r="N2" s="19"/>
      <c r="O2" s="19"/>
      <c r="P2" s="19"/>
      <c r="Q2" s="19"/>
      <c r="R2" s="19"/>
      <c r="S2" s="19"/>
      <c r="T2" s="19"/>
      <c r="U2" s="19"/>
    </row>
    <row r="3" spans="1:21" x14ac:dyDescent="0.35">
      <c r="A3" s="19"/>
      <c r="B3" s="19"/>
      <c r="C3" s="19"/>
      <c r="D3" s="19"/>
      <c r="E3" s="19"/>
      <c r="F3" s="19"/>
      <c r="G3" s="19"/>
      <c r="H3" s="19"/>
      <c r="I3" s="19"/>
      <c r="J3" s="19"/>
      <c r="K3" s="19"/>
      <c r="L3" s="19"/>
      <c r="M3" s="19"/>
      <c r="N3" s="19"/>
      <c r="O3" s="19"/>
      <c r="P3" s="19"/>
      <c r="Q3" s="19"/>
      <c r="R3" s="19"/>
      <c r="S3" s="19"/>
      <c r="T3" s="19"/>
      <c r="U3" s="19"/>
    </row>
    <row r="4" spans="1:21" x14ac:dyDescent="0.35">
      <c r="A4" s="19"/>
      <c r="B4" s="19"/>
      <c r="C4" s="19"/>
      <c r="D4" s="19"/>
      <c r="E4" s="19"/>
      <c r="F4" s="19"/>
      <c r="G4" s="19"/>
      <c r="H4" s="19"/>
      <c r="I4" s="19"/>
      <c r="J4" s="19"/>
      <c r="K4" s="19"/>
      <c r="L4" s="19"/>
      <c r="M4" s="19"/>
      <c r="N4" s="19"/>
      <c r="O4" s="19"/>
      <c r="P4" s="19"/>
      <c r="Q4" s="19"/>
      <c r="R4" s="19"/>
      <c r="S4" s="19"/>
      <c r="T4" s="19"/>
      <c r="U4" s="19"/>
    </row>
    <row r="5" spans="1:21" x14ac:dyDescent="0.35">
      <c r="A5" s="19"/>
      <c r="B5" s="19"/>
      <c r="C5" s="19"/>
      <c r="D5" s="19"/>
      <c r="E5" s="19"/>
      <c r="F5" s="19"/>
      <c r="G5" s="19"/>
      <c r="H5" s="19"/>
      <c r="I5" s="19"/>
      <c r="J5" s="19"/>
      <c r="K5" s="19"/>
      <c r="L5" s="19"/>
      <c r="M5" s="19"/>
      <c r="N5" s="19"/>
      <c r="O5" s="19"/>
      <c r="P5" s="19"/>
      <c r="Q5" s="19"/>
      <c r="R5" s="19"/>
      <c r="S5" s="19"/>
      <c r="T5" s="19"/>
      <c r="U5" s="19"/>
    </row>
    <row r="6" spans="1:21" x14ac:dyDescent="0.35">
      <c r="A6" s="19"/>
      <c r="B6" s="19"/>
      <c r="C6" s="19"/>
      <c r="D6" s="19"/>
      <c r="E6" s="19"/>
      <c r="F6" s="19"/>
      <c r="G6" s="19"/>
      <c r="H6" s="19"/>
      <c r="I6" s="19"/>
      <c r="J6" s="19"/>
      <c r="K6" s="19"/>
      <c r="L6" s="19"/>
      <c r="M6" s="19"/>
      <c r="N6" s="19"/>
      <c r="O6" s="19"/>
      <c r="P6" s="19"/>
      <c r="Q6" s="19"/>
      <c r="R6" s="19"/>
      <c r="S6" s="19"/>
      <c r="T6" s="19"/>
      <c r="U6" s="19"/>
    </row>
    <row r="7" spans="1:21" x14ac:dyDescent="0.35">
      <c r="A7" s="19"/>
      <c r="B7" s="19"/>
      <c r="C7" s="19"/>
      <c r="D7" s="19"/>
      <c r="E7" s="19"/>
      <c r="F7" s="19"/>
      <c r="G7" s="19"/>
      <c r="H7" s="19"/>
      <c r="I7" s="19"/>
      <c r="J7" s="19"/>
      <c r="K7" s="19"/>
      <c r="L7" s="19"/>
      <c r="M7" s="19"/>
      <c r="N7" s="19"/>
      <c r="O7" s="19"/>
      <c r="P7" s="19"/>
      <c r="Q7" s="19"/>
      <c r="R7" s="19"/>
      <c r="S7" s="19"/>
      <c r="T7" s="19"/>
      <c r="U7" s="19"/>
    </row>
    <row r="8" spans="1:21" x14ac:dyDescent="0.35">
      <c r="A8" s="19"/>
      <c r="B8" s="19"/>
      <c r="C8" s="19"/>
      <c r="D8" s="19"/>
      <c r="E8" s="19"/>
      <c r="F8" s="19"/>
      <c r="G8" s="19"/>
      <c r="H8" s="19"/>
      <c r="I8" s="19"/>
      <c r="J8" s="19"/>
      <c r="K8" s="19"/>
      <c r="L8" s="19"/>
      <c r="M8" s="19"/>
      <c r="N8" s="19"/>
      <c r="O8" s="19"/>
      <c r="P8" s="19"/>
      <c r="Q8" s="19"/>
      <c r="R8" s="19"/>
      <c r="S8" s="19"/>
      <c r="T8" s="19"/>
      <c r="U8" s="19"/>
    </row>
    <row r="9" spans="1:21" x14ac:dyDescent="0.35">
      <c r="A9" s="19"/>
      <c r="B9" s="19"/>
      <c r="C9" s="19"/>
      <c r="D9" s="19"/>
      <c r="E9" s="19"/>
      <c r="F9" s="19"/>
      <c r="G9" s="19"/>
      <c r="H9" s="19"/>
      <c r="I9" s="19"/>
      <c r="J9" s="19"/>
      <c r="K9" s="19"/>
      <c r="L9" s="19"/>
      <c r="M9" s="19"/>
      <c r="N9" s="19"/>
      <c r="O9" s="19"/>
      <c r="P9" s="19"/>
      <c r="Q9" s="19"/>
      <c r="R9" s="19"/>
      <c r="S9" s="19"/>
      <c r="T9" s="19"/>
      <c r="U9" s="19"/>
    </row>
    <row r="10" spans="1:21" x14ac:dyDescent="0.35">
      <c r="A10" s="19"/>
      <c r="B10" s="19"/>
      <c r="C10" s="19"/>
      <c r="D10" s="19"/>
      <c r="E10" s="19"/>
      <c r="F10" s="19"/>
      <c r="G10" s="19"/>
      <c r="H10" s="19"/>
      <c r="I10" s="19"/>
      <c r="J10" s="19"/>
      <c r="K10" s="19"/>
      <c r="L10" s="19"/>
      <c r="M10" s="19"/>
      <c r="N10" s="19"/>
      <c r="O10" s="19"/>
      <c r="P10" s="19"/>
      <c r="Q10" s="19"/>
      <c r="R10" s="19"/>
      <c r="S10" s="19"/>
      <c r="T10" s="19"/>
      <c r="U10" s="19"/>
    </row>
    <row r="11" spans="1:21" x14ac:dyDescent="0.35">
      <c r="A11" s="19"/>
      <c r="B11" s="19"/>
      <c r="C11" s="19"/>
      <c r="D11" s="19"/>
      <c r="E11" s="19"/>
      <c r="F11" s="19"/>
      <c r="G11" s="19"/>
      <c r="H11" s="19"/>
      <c r="I11" s="19"/>
      <c r="J11" s="19"/>
      <c r="K11" s="19"/>
      <c r="L11" s="19"/>
      <c r="M11" s="19"/>
      <c r="N11" s="19"/>
      <c r="O11" s="19"/>
      <c r="P11" s="19"/>
      <c r="Q11" s="19"/>
      <c r="R11" s="19"/>
      <c r="S11" s="19"/>
      <c r="T11" s="19"/>
      <c r="U11" s="19"/>
    </row>
    <row r="12" spans="1:21" x14ac:dyDescent="0.35">
      <c r="A12" s="19"/>
      <c r="B12" s="19"/>
      <c r="C12" s="19"/>
      <c r="D12" s="19"/>
      <c r="E12" s="19"/>
      <c r="F12" s="19"/>
      <c r="G12" s="19"/>
      <c r="H12" s="19"/>
      <c r="I12" s="19"/>
      <c r="J12" s="19"/>
      <c r="K12" s="19"/>
      <c r="L12" s="19"/>
      <c r="M12" s="19"/>
      <c r="N12" s="19"/>
      <c r="O12" s="19"/>
      <c r="P12" s="19"/>
      <c r="Q12" s="19"/>
      <c r="R12" s="19"/>
      <c r="S12" s="19"/>
      <c r="T12" s="19"/>
      <c r="U12" s="19"/>
    </row>
    <row r="13" spans="1:21" x14ac:dyDescent="0.35">
      <c r="A13" s="19"/>
      <c r="B13" s="19"/>
      <c r="C13" s="19"/>
      <c r="D13" s="19"/>
      <c r="E13" s="19"/>
      <c r="F13" s="19"/>
      <c r="G13" s="19"/>
      <c r="H13" s="19"/>
      <c r="I13" s="19"/>
      <c r="J13" s="19"/>
      <c r="K13" s="19"/>
      <c r="L13" s="19"/>
      <c r="M13" s="19"/>
      <c r="N13" s="19"/>
      <c r="O13" s="19"/>
      <c r="P13" s="19"/>
      <c r="Q13" s="19"/>
      <c r="R13" s="19"/>
      <c r="S13" s="19"/>
      <c r="T13" s="19"/>
      <c r="U13" s="19"/>
    </row>
    <row r="14" spans="1:21" x14ac:dyDescent="0.35">
      <c r="A14" s="19"/>
      <c r="B14" s="19"/>
      <c r="C14" s="19"/>
      <c r="D14" s="19"/>
      <c r="E14" s="19"/>
      <c r="F14" s="19"/>
      <c r="G14" s="19"/>
      <c r="H14" s="19"/>
      <c r="I14" s="19"/>
      <c r="J14" s="19"/>
      <c r="K14" s="19"/>
      <c r="L14" s="19"/>
      <c r="M14" s="19"/>
      <c r="N14" s="19"/>
      <c r="O14" s="19"/>
      <c r="P14" s="19"/>
      <c r="Q14" s="19"/>
      <c r="R14" s="19"/>
      <c r="S14" s="19"/>
      <c r="T14" s="19"/>
      <c r="U14" s="19"/>
    </row>
    <row r="15" spans="1:21" x14ac:dyDescent="0.35">
      <c r="A15" s="19"/>
      <c r="B15" s="19"/>
      <c r="C15" s="19"/>
      <c r="D15" s="19"/>
      <c r="E15" s="19"/>
      <c r="F15" s="19"/>
      <c r="G15" s="19"/>
      <c r="H15" s="19"/>
      <c r="I15" s="19"/>
      <c r="J15" s="19"/>
      <c r="K15" s="19"/>
      <c r="L15" s="19"/>
      <c r="M15" s="19"/>
      <c r="N15" s="19"/>
      <c r="O15" s="19"/>
      <c r="P15" s="19"/>
      <c r="Q15" s="19"/>
      <c r="R15" s="19"/>
      <c r="S15" s="19"/>
      <c r="T15" s="19"/>
      <c r="U15" s="19"/>
    </row>
    <row r="16" spans="1:21" x14ac:dyDescent="0.35">
      <c r="A16" s="19"/>
      <c r="B16" s="19"/>
      <c r="C16" s="19"/>
      <c r="D16" s="19"/>
      <c r="E16" s="19"/>
      <c r="F16" s="19"/>
      <c r="G16" s="19"/>
      <c r="H16" s="19"/>
      <c r="I16" s="19"/>
      <c r="J16" s="19"/>
      <c r="K16" s="19"/>
      <c r="L16" s="19"/>
      <c r="M16" s="19"/>
      <c r="N16" s="19"/>
      <c r="O16" s="19"/>
      <c r="P16" s="19"/>
      <c r="Q16" s="19"/>
      <c r="R16" s="19"/>
      <c r="S16" s="19"/>
      <c r="T16" s="19"/>
      <c r="U16" s="19"/>
    </row>
    <row r="17" spans="1:21" x14ac:dyDescent="0.35">
      <c r="A17" s="19"/>
      <c r="B17" s="19"/>
      <c r="C17" s="19"/>
      <c r="D17" s="19"/>
      <c r="E17" s="19"/>
      <c r="F17" s="19"/>
      <c r="G17" s="19"/>
      <c r="H17" s="19"/>
      <c r="I17" s="19"/>
      <c r="J17" s="19"/>
      <c r="K17" s="19"/>
      <c r="L17" s="19"/>
      <c r="M17" s="19"/>
      <c r="N17" s="19"/>
      <c r="O17" s="19"/>
      <c r="P17" s="19"/>
      <c r="Q17" s="19"/>
      <c r="R17" s="19"/>
      <c r="S17" s="19"/>
      <c r="T17" s="19"/>
      <c r="U17" s="19"/>
    </row>
    <row r="18" spans="1:21" x14ac:dyDescent="0.35">
      <c r="A18" s="19"/>
      <c r="B18" s="19"/>
      <c r="C18" s="19"/>
      <c r="D18" s="19"/>
      <c r="E18" s="19"/>
      <c r="F18" s="19"/>
      <c r="G18" s="19"/>
      <c r="H18" s="19"/>
      <c r="I18" s="19"/>
      <c r="J18" s="19"/>
      <c r="K18" s="19"/>
      <c r="L18" s="19"/>
      <c r="M18" s="19"/>
      <c r="N18" s="19"/>
      <c r="O18" s="19"/>
      <c r="P18" s="19"/>
      <c r="Q18" s="19"/>
      <c r="R18" s="19"/>
      <c r="S18" s="19"/>
      <c r="T18" s="19"/>
      <c r="U18" s="19"/>
    </row>
    <row r="19" spans="1:21" x14ac:dyDescent="0.35">
      <c r="A19" s="19"/>
      <c r="B19" s="19"/>
      <c r="C19" s="19"/>
      <c r="D19" s="19"/>
      <c r="E19" s="19"/>
      <c r="F19" s="19"/>
      <c r="G19" s="19"/>
      <c r="H19" s="19"/>
      <c r="I19" s="19"/>
      <c r="J19" s="19"/>
      <c r="K19" s="19"/>
      <c r="L19" s="19"/>
      <c r="M19" s="19"/>
      <c r="N19" s="19"/>
      <c r="O19" s="19"/>
      <c r="P19" s="19"/>
      <c r="Q19" s="19"/>
      <c r="R19" s="19"/>
      <c r="S19" s="19"/>
      <c r="T19" s="19"/>
      <c r="U19" s="19"/>
    </row>
    <row r="20" spans="1:21" x14ac:dyDescent="0.35">
      <c r="A20" s="19"/>
      <c r="B20" s="19"/>
      <c r="C20" s="19"/>
      <c r="D20" s="19"/>
      <c r="E20" s="19"/>
      <c r="F20" s="19"/>
      <c r="G20" s="19"/>
      <c r="H20" s="19"/>
      <c r="I20" s="19"/>
      <c r="J20" s="19"/>
      <c r="K20" s="19"/>
      <c r="L20" s="19"/>
      <c r="M20" s="19"/>
      <c r="N20" s="19"/>
      <c r="O20" s="19"/>
      <c r="P20" s="19"/>
      <c r="Q20" s="19"/>
      <c r="R20" s="19"/>
      <c r="S20" s="19"/>
      <c r="T20" s="19"/>
      <c r="U20" s="19"/>
    </row>
    <row r="21" spans="1:21" x14ac:dyDescent="0.35">
      <c r="A21" s="19"/>
      <c r="B21" s="19"/>
      <c r="C21" s="19"/>
      <c r="D21" s="19"/>
      <c r="E21" s="19"/>
      <c r="F21" s="19"/>
      <c r="G21" s="19"/>
      <c r="H21" s="19"/>
      <c r="I21" s="19"/>
      <c r="J21" s="19"/>
      <c r="K21" s="19"/>
      <c r="L21" s="19"/>
      <c r="M21" s="19"/>
      <c r="N21" s="19"/>
      <c r="O21" s="19"/>
      <c r="P21" s="19"/>
      <c r="Q21" s="19"/>
      <c r="R21" s="19"/>
      <c r="S21" s="19"/>
      <c r="T21" s="19"/>
      <c r="U21" s="19"/>
    </row>
    <row r="22" spans="1:21" x14ac:dyDescent="0.35">
      <c r="A22" s="19"/>
      <c r="B22" s="19"/>
      <c r="C22" s="19"/>
      <c r="D22" s="19"/>
      <c r="E22" s="19"/>
      <c r="F22" s="19"/>
      <c r="G22" s="19"/>
      <c r="H22" s="19"/>
      <c r="I22" s="19"/>
      <c r="J22" s="19"/>
      <c r="K22" s="19"/>
      <c r="L22" s="19"/>
      <c r="M22" s="19"/>
      <c r="N22" s="19"/>
      <c r="O22" s="19"/>
      <c r="P22" s="19"/>
      <c r="Q22" s="19"/>
      <c r="R22" s="19"/>
      <c r="S22" s="19"/>
      <c r="T22" s="19"/>
      <c r="U22" s="19"/>
    </row>
    <row r="23" spans="1:21" x14ac:dyDescent="0.35">
      <c r="A23" s="19"/>
      <c r="B23" s="19"/>
      <c r="C23" s="19"/>
      <c r="D23" s="19"/>
      <c r="E23" s="19"/>
      <c r="F23" s="19"/>
      <c r="G23" s="19"/>
      <c r="H23" s="19"/>
      <c r="I23" s="19"/>
      <c r="J23" s="19"/>
      <c r="K23" s="19"/>
      <c r="L23" s="19"/>
      <c r="M23" s="19"/>
      <c r="N23" s="19"/>
      <c r="O23" s="19"/>
      <c r="P23" s="19"/>
      <c r="Q23" s="19"/>
      <c r="R23" s="19"/>
      <c r="S23" s="19"/>
      <c r="T23" s="19"/>
      <c r="U23" s="19"/>
    </row>
    <row r="24" spans="1:21" x14ac:dyDescent="0.35">
      <c r="A24" s="19"/>
      <c r="B24" s="19"/>
      <c r="C24" s="19"/>
      <c r="D24" s="19"/>
      <c r="E24" s="19"/>
      <c r="F24" s="19"/>
      <c r="G24" s="19"/>
      <c r="H24" s="19"/>
      <c r="I24" s="19"/>
      <c r="J24" s="19"/>
      <c r="K24" s="19"/>
      <c r="L24" s="19"/>
      <c r="M24" s="19"/>
      <c r="N24" s="19"/>
      <c r="O24" s="19"/>
      <c r="P24" s="19"/>
      <c r="Q24" s="19"/>
      <c r="R24" s="19"/>
      <c r="S24" s="19"/>
      <c r="T24" s="19"/>
      <c r="U24" s="19"/>
    </row>
    <row r="25" spans="1:21" x14ac:dyDescent="0.35">
      <c r="A25" s="19"/>
      <c r="B25" s="19"/>
      <c r="C25" s="19"/>
      <c r="D25" s="19"/>
      <c r="E25" s="19"/>
      <c r="F25" s="19"/>
      <c r="G25" s="19"/>
      <c r="H25" s="19"/>
      <c r="I25" s="19"/>
      <c r="J25" s="19"/>
      <c r="K25" s="19"/>
      <c r="L25" s="19"/>
      <c r="M25" s="19"/>
      <c r="N25" s="19"/>
      <c r="O25" s="19"/>
      <c r="P25" s="19"/>
      <c r="Q25" s="19"/>
      <c r="R25" s="19"/>
      <c r="S25" s="19"/>
      <c r="T25" s="19"/>
      <c r="U25" s="19"/>
    </row>
    <row r="26" spans="1:21" x14ac:dyDescent="0.35">
      <c r="A26" s="19"/>
      <c r="B26" s="19"/>
      <c r="C26" s="19"/>
      <c r="D26" s="19"/>
      <c r="E26" s="19"/>
      <c r="F26" s="19"/>
      <c r="G26" s="19"/>
      <c r="H26" s="19"/>
      <c r="I26" s="19"/>
      <c r="J26" s="19"/>
      <c r="K26" s="19"/>
      <c r="L26" s="19"/>
      <c r="M26" s="19"/>
      <c r="N26" s="19"/>
      <c r="O26" s="19"/>
      <c r="P26" s="19"/>
      <c r="Q26" s="19"/>
      <c r="R26" s="19"/>
      <c r="S26" s="19"/>
      <c r="T26" s="19"/>
      <c r="U26" s="19"/>
    </row>
    <row r="27" spans="1:21" x14ac:dyDescent="0.35">
      <c r="A27" s="19"/>
      <c r="B27" s="19"/>
      <c r="C27" s="19"/>
      <c r="D27" s="19"/>
      <c r="E27" s="19"/>
      <c r="F27" s="19"/>
      <c r="G27" s="19"/>
      <c r="H27" s="19"/>
      <c r="I27" s="19"/>
      <c r="J27" s="19"/>
      <c r="K27" s="19"/>
      <c r="L27" s="19"/>
      <c r="M27" s="19"/>
      <c r="N27" s="19"/>
      <c r="O27" s="19"/>
      <c r="P27" s="19"/>
      <c r="Q27" s="19"/>
      <c r="R27" s="19"/>
      <c r="S27" s="19"/>
      <c r="T27" s="19"/>
      <c r="U27" s="19"/>
    </row>
    <row r="28" spans="1:21" x14ac:dyDescent="0.35">
      <c r="A28" s="19"/>
      <c r="B28" s="19"/>
      <c r="C28" s="19"/>
      <c r="D28" s="19"/>
      <c r="E28" s="19"/>
      <c r="F28" s="19"/>
      <c r="G28" s="19"/>
      <c r="H28" s="19"/>
      <c r="I28" s="19"/>
      <c r="J28" s="19"/>
      <c r="K28" s="19"/>
      <c r="L28" s="19"/>
      <c r="M28" s="19"/>
      <c r="N28" s="19"/>
      <c r="O28" s="19"/>
      <c r="P28" s="19"/>
      <c r="Q28" s="19"/>
      <c r="R28" s="19"/>
      <c r="S28" s="19"/>
      <c r="T28" s="19"/>
      <c r="U28" s="19"/>
    </row>
    <row r="29" spans="1:21" x14ac:dyDescent="0.35">
      <c r="A29" s="19"/>
      <c r="B29" s="19"/>
      <c r="C29" s="19"/>
      <c r="D29" s="19"/>
      <c r="E29" s="19"/>
      <c r="F29" s="19"/>
      <c r="G29" s="19"/>
      <c r="H29" s="19"/>
      <c r="I29" s="19"/>
      <c r="J29" s="19"/>
      <c r="K29" s="19"/>
      <c r="L29" s="19"/>
      <c r="M29" s="19"/>
      <c r="N29" s="19"/>
      <c r="O29" s="19"/>
      <c r="P29" s="19"/>
      <c r="Q29" s="19"/>
      <c r="R29" s="19"/>
      <c r="S29" s="19"/>
      <c r="T29" s="19"/>
      <c r="U29" s="19"/>
    </row>
    <row r="30" spans="1:21" x14ac:dyDescent="0.35">
      <c r="A30" s="19"/>
      <c r="B30" s="19"/>
      <c r="C30" s="19"/>
      <c r="D30" s="19"/>
      <c r="E30" s="19"/>
      <c r="F30" s="19"/>
      <c r="G30" s="19"/>
      <c r="H30" s="19"/>
      <c r="I30" s="19"/>
      <c r="J30" s="19"/>
      <c r="K30" s="19"/>
      <c r="L30" s="19"/>
      <c r="M30" s="19"/>
      <c r="N30" s="19"/>
      <c r="O30" s="19"/>
      <c r="P30" s="19"/>
      <c r="Q30" s="19"/>
      <c r="R30" s="19"/>
      <c r="S30" s="19"/>
      <c r="T30" s="19"/>
      <c r="U30" s="1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Sheet5</vt:lpstr>
      <vt:lpstr>Sheet6</vt:lpstr>
      <vt:lpstr>Sheet7</vt:lpstr>
      <vt:lpstr>Client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Abdur khan</dc:creator>
  <cp:lastModifiedBy>Abdur khan</cp:lastModifiedBy>
  <dcterms:created xsi:type="dcterms:W3CDTF">2026-03-31T08:52:35Z</dcterms:created>
  <dcterms:modified xsi:type="dcterms:W3CDTF">2026-04-03T13:00:57Z</dcterms:modified>
</cp:coreProperties>
</file>